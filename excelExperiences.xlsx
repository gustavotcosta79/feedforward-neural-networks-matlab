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ugav\OneDrive\Ambiente de Trabalho\ISEC\2ano\CR\"/>
    </mc:Choice>
  </mc:AlternateContent>
  <xr:revisionPtr revIDLastSave="0" documentId="8_{1914C027-EC24-4A21-AD9D-7E6AB7EC305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alineaA" sheetId="1" r:id="rId1"/>
    <sheet name="alineaB" sheetId="2" r:id="rId2"/>
    <sheet name="alineaC" sheetId="3" r:id="rId3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8" i="1" l="1"/>
  <c r="H17" i="1"/>
  <c r="H16" i="1"/>
  <c r="H15" i="1"/>
  <c r="H14" i="1"/>
  <c r="I32" i="2"/>
  <c r="I31" i="2"/>
  <c r="I33" i="2"/>
  <c r="H31" i="2"/>
  <c r="H32" i="2"/>
  <c r="H33" i="2"/>
  <c r="I30" i="2"/>
  <c r="H30" i="2"/>
  <c r="H24" i="2"/>
  <c r="H25" i="2"/>
  <c r="H26" i="2"/>
  <c r="I24" i="2"/>
  <c r="I25" i="2"/>
  <c r="I26" i="2"/>
  <c r="I23" i="2"/>
  <c r="H23" i="2"/>
  <c r="I18" i="2"/>
  <c r="I19" i="2"/>
  <c r="I17" i="2"/>
  <c r="I16" i="2"/>
  <c r="H9" i="2"/>
  <c r="H17" i="2"/>
  <c r="H18" i="2"/>
  <c r="H19" i="2"/>
  <c r="H16" i="2"/>
  <c r="I12" i="2"/>
  <c r="I10" i="2"/>
  <c r="I9" i="2"/>
  <c r="H11" i="2"/>
  <c r="H10" i="2"/>
  <c r="H12" i="2"/>
  <c r="H11" i="1"/>
  <c r="H10" i="1"/>
  <c r="H8" i="1"/>
  <c r="H9" i="1"/>
  <c r="H7" i="1"/>
</calcChain>
</file>

<file path=xl/sharedStrings.xml><?xml version="1.0" encoding="utf-8"?>
<sst xmlns="http://schemas.openxmlformats.org/spreadsheetml/2006/main" count="506" uniqueCount="132">
  <si>
    <t>Número de camadas escondidas</t>
  </si>
  <si>
    <t>Número de neurónios</t>
  </si>
  <si>
    <t>Funções de ativação</t>
  </si>
  <si>
    <t>Função de treino</t>
  </si>
  <si>
    <t>Divisão  dos exemplos</t>
  </si>
  <si>
    <t>Precisão Global</t>
  </si>
  <si>
    <t>Precisão Teste</t>
  </si>
  <si>
    <t>Configuração por defeito</t>
  </si>
  <si>
    <t>tansig, purelin</t>
  </si>
  <si>
    <t>trainlm</t>
  </si>
  <si>
    <t>dividerand = {1, 0, 0}</t>
  </si>
  <si>
    <t xml:space="preserve">O número e dimensão das camadas encondidas influencia o desempenho? </t>
  </si>
  <si>
    <t>Teste1</t>
  </si>
  <si>
    <t>Teste2</t>
  </si>
  <si>
    <t>Teste3</t>
  </si>
  <si>
    <t>Teste4</t>
  </si>
  <si>
    <t>Teste5</t>
  </si>
  <si>
    <t>Teste6</t>
  </si>
  <si>
    <t>Teste7</t>
  </si>
  <si>
    <t>Teste8</t>
  </si>
  <si>
    <t>Teste9</t>
  </si>
  <si>
    <t>Teste10</t>
  </si>
  <si>
    <t>Conf1</t>
  </si>
  <si>
    <t>NA</t>
  </si>
  <si>
    <t>Conf2</t>
  </si>
  <si>
    <t>10,10</t>
  </si>
  <si>
    <t>tansig, tansig, purelin</t>
  </si>
  <si>
    <t>Conf3</t>
  </si>
  <si>
    <t>10,20</t>
  </si>
  <si>
    <t>Conf4</t>
  </si>
  <si>
    <t>Conf5</t>
  </si>
  <si>
    <t>10,15,20</t>
  </si>
  <si>
    <t>tansig, tansig, tansig, purelin</t>
  </si>
  <si>
    <t xml:space="preserve"> </t>
  </si>
  <si>
    <t>dividerand = {0.7, 0.15, 0.15}</t>
  </si>
  <si>
    <t>89.67</t>
  </si>
  <si>
    <t>88.67</t>
  </si>
  <si>
    <t>90.67</t>
  </si>
  <si>
    <t>92.67</t>
  </si>
  <si>
    <t>90.33</t>
  </si>
  <si>
    <t>91.33</t>
  </si>
  <si>
    <t>87.67</t>
  </si>
  <si>
    <t>73.33</t>
  </si>
  <si>
    <t>48.69</t>
  </si>
  <si>
    <t>75.56</t>
  </si>
  <si>
    <t>62.22</t>
  </si>
  <si>
    <t>68.89</t>
  </si>
  <si>
    <t>82.22</t>
  </si>
  <si>
    <t>64.44</t>
  </si>
  <si>
    <t>48.89</t>
  </si>
  <si>
    <t>91.00</t>
  </si>
  <si>
    <t>89.33</t>
  </si>
  <si>
    <t>88.33</t>
  </si>
  <si>
    <t>85.67</t>
  </si>
  <si>
    <t>83.67</t>
  </si>
  <si>
    <t>55.56</t>
  </si>
  <si>
    <t>71.11</t>
  </si>
  <si>
    <t>53.33</t>
  </si>
  <si>
    <t xml:space="preserve">A função de treino influencia o desempenho? </t>
  </si>
  <si>
    <t>traingd</t>
  </si>
  <si>
    <t>18.33</t>
  </si>
  <si>
    <t>11.67</t>
  </si>
  <si>
    <t>23.67</t>
  </si>
  <si>
    <t>15.67</t>
  </si>
  <si>
    <t>19.33</t>
  </si>
  <si>
    <t>15.56</t>
  </si>
  <si>
    <t>22.22</t>
  </si>
  <si>
    <t>24.44</t>
  </si>
  <si>
    <t>4.44</t>
  </si>
  <si>
    <t>31.11</t>
  </si>
  <si>
    <t>11.11</t>
  </si>
  <si>
    <t>20.00</t>
  </si>
  <si>
    <t>28.89</t>
  </si>
  <si>
    <t>trainbfg</t>
  </si>
  <si>
    <t>trainbr</t>
  </si>
  <si>
    <t>91.67</t>
  </si>
  <si>
    <t>95.67</t>
  </si>
  <si>
    <t>94.33</t>
  </si>
  <si>
    <t>92.33</t>
  </si>
  <si>
    <t>94.67</t>
  </si>
  <si>
    <t>77.78</t>
  </si>
  <si>
    <t>86.67</t>
  </si>
  <si>
    <t>84.44</t>
  </si>
  <si>
    <t>trainc</t>
  </si>
  <si>
    <t xml:space="preserve">As funções de ativação influenciam o desempenho? </t>
  </si>
  <si>
    <t>logsig, purelin</t>
  </si>
  <si>
    <t>87.33</t>
  </si>
  <si>
    <t>84.67</t>
  </si>
  <si>
    <t>compet, purelin</t>
  </si>
  <si>
    <t>softmax,purelin</t>
  </si>
  <si>
    <t>72.67</t>
  </si>
  <si>
    <t>85.33</t>
  </si>
  <si>
    <t>59.67</t>
  </si>
  <si>
    <t>71.67</t>
  </si>
  <si>
    <t>68.67</t>
  </si>
  <si>
    <t>60.67</t>
  </si>
  <si>
    <t>66.67</t>
  </si>
  <si>
    <t>37.78</t>
  </si>
  <si>
    <t>55.26</t>
  </si>
  <si>
    <t>42.22</t>
  </si>
  <si>
    <t>46.67</t>
  </si>
  <si>
    <t>hardlim, purelin</t>
  </si>
  <si>
    <t xml:space="preserve">A divisão de exemplos pelos conjuntos influencia o desempenho? </t>
  </si>
  <si>
    <t>dividerand = {0.33, 0.33, 0.33}</t>
  </si>
  <si>
    <t>69.67</t>
  </si>
  <si>
    <t>70.67</t>
  </si>
  <si>
    <t>72.33</t>
  </si>
  <si>
    <t>dividerand = {0.9, 0.05, 0.05}</t>
  </si>
  <si>
    <t>dividerand = {0.5,0.25,0.25}</t>
  </si>
  <si>
    <t>78.33</t>
  </si>
  <si>
    <t>79.33</t>
  </si>
  <si>
    <t>79.67</t>
  </si>
  <si>
    <t>82.67</t>
  </si>
  <si>
    <t>62.67</t>
  </si>
  <si>
    <t>69.33</t>
  </si>
  <si>
    <t>61.33</t>
  </si>
  <si>
    <t>58.67</t>
  </si>
  <si>
    <t>54.67</t>
  </si>
  <si>
    <t>dividerand = {0.4, 0.4, 0.2}</t>
  </si>
  <si>
    <t>esta</t>
  </si>
  <si>
    <t>Número de épocas</t>
  </si>
  <si>
    <t xml:space="preserve">Alinea A) ii. </t>
  </si>
  <si>
    <t>Alinea A) iii.</t>
  </si>
  <si>
    <t>83.33</t>
  </si>
  <si>
    <t>76.67</t>
  </si>
  <si>
    <t>43.33</t>
  </si>
  <si>
    <t>63.33</t>
  </si>
  <si>
    <t>56.67</t>
  </si>
  <si>
    <t xml:space="preserve">Configurações e resultados das melhores redes de b) (sem treino) </t>
  </si>
  <si>
    <t xml:space="preserve">Configurações e resultados das melhores redes de b) (com treino, pasta test) </t>
  </si>
  <si>
    <t xml:space="preserve">Configurações e resultados das melhores redes de b) (com treino, todas as pastas) </t>
  </si>
  <si>
    <t>88.3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</si>
</sst>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7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</cellXfs>
  <cellStyles count="73">
    <cellStyle name="Hiperligação" xfId="25" builtinId="8" hidden="1"/>
    <cellStyle name="Hiperligação" xfId="11" builtinId="8" hidden="1"/>
    <cellStyle name="Hiperligação" xfId="13" builtinId="8" hidden="1"/>
    <cellStyle name="Hiperligação" xfId="17" builtinId="8" hidden="1"/>
    <cellStyle name="Hiperligação" xfId="19" builtinId="8" hidden="1"/>
    <cellStyle name="Hiperligação" xfId="9" builtinId="8" hidden="1"/>
    <cellStyle name="Hiperligação" xfId="7" builtinId="8" hidden="1"/>
    <cellStyle name="Hiperligação" xfId="3" builtinId="8" hidden="1"/>
    <cellStyle name="Hiperligação" xfId="1" builtinId="8" hidden="1"/>
    <cellStyle name="Hiperligação" xfId="5" builtinId="8" hidden="1"/>
    <cellStyle name="Hiperligação" xfId="15" builtinId="8" hidden="1"/>
    <cellStyle name="Hiperligação" xfId="41" builtinId="8" hidden="1"/>
    <cellStyle name="Hiperligação" xfId="57" builtinId="8" hidden="1"/>
    <cellStyle name="Hiperligação" xfId="49" builtinId="8" hidden="1"/>
    <cellStyle name="Hiperligação" xfId="23" builtinId="8" hidden="1"/>
    <cellStyle name="Hiperligação" xfId="27" builtinId="8" hidden="1"/>
    <cellStyle name="Hiperligação" xfId="29" builtinId="8" hidden="1"/>
    <cellStyle name="Hiperligação" xfId="31" builtinId="8" hidden="1"/>
    <cellStyle name="Hiperligação" xfId="33" builtinId="8" hidden="1"/>
    <cellStyle name="Hiperligação" xfId="35" builtinId="8" hidden="1"/>
    <cellStyle name="Hiperligação" xfId="37" builtinId="8" hidden="1"/>
    <cellStyle name="Hiperligação" xfId="43" builtinId="8" hidden="1"/>
    <cellStyle name="Hiperligação" xfId="45" builtinId="8" hidden="1"/>
    <cellStyle name="Hiperligação" xfId="47" builtinId="8" hidden="1"/>
    <cellStyle name="Hiperligação" xfId="39" builtinId="8" hidden="1"/>
    <cellStyle name="Hiperligação" xfId="21" builtinId="8" hidden="1"/>
    <cellStyle name="Hiperligação" xfId="63" builtinId="8" hidden="1"/>
    <cellStyle name="Hiperligação" xfId="67" builtinId="8" hidden="1"/>
    <cellStyle name="Hiperligação" xfId="69" builtinId="8" hidden="1"/>
    <cellStyle name="Hiperligação" xfId="71" builtinId="8" hidden="1"/>
    <cellStyle name="Hiperligação" xfId="65" builtinId="8" hidden="1"/>
    <cellStyle name="Hiperligação" xfId="61" builtinId="8" hidden="1"/>
    <cellStyle name="Hiperligação" xfId="55" builtinId="8" hidden="1"/>
    <cellStyle name="Hiperligação" xfId="59" builtinId="8" hidden="1"/>
    <cellStyle name="Hiperligação" xfId="53" builtinId="8" hidden="1"/>
    <cellStyle name="Hiperligação" xfId="51" builtinId="8" hidden="1"/>
    <cellStyle name="Hiperligação Visitada" xfId="8" builtinId="9" hidden="1"/>
    <cellStyle name="Hiperligação Visitada" xfId="2" builtinId="9" hidden="1"/>
    <cellStyle name="Hiperligação Visitada" xfId="4" builtinId="9" hidden="1"/>
    <cellStyle name="Hiperligação Visitada" xfId="6" builtinId="9" hidden="1"/>
    <cellStyle name="Hiperligação Visitada" xfId="42" builtinId="9" hidden="1"/>
    <cellStyle name="Hiperligação Visitada" xfId="44" builtinId="9" hidden="1"/>
    <cellStyle name="Hiperligação Visitada" xfId="48" builtinId="9" hidden="1"/>
    <cellStyle name="Hiperligação Visitada" xfId="52" builtinId="9" hidden="1"/>
    <cellStyle name="Hiperligação Visitada" xfId="56" builtinId="9" hidden="1"/>
    <cellStyle name="Hiperligação Visitada" xfId="58" builtinId="9" hidden="1"/>
    <cellStyle name="Hiperligação Visitada" xfId="64" builtinId="9" hidden="1"/>
    <cellStyle name="Hiperligação Visitada" xfId="62" builtinId="9" hidden="1"/>
    <cellStyle name="Hiperligação Visitada" xfId="54" builtinId="9" hidden="1"/>
    <cellStyle name="Hiperligação Visitada" xfId="38" builtinId="9" hidden="1"/>
    <cellStyle name="Hiperligação Visitada" xfId="30" builtinId="9" hidden="1"/>
    <cellStyle name="Hiperligação Visitada" xfId="22" builtinId="9" hidden="1"/>
    <cellStyle name="Hiperligação Visitada" xfId="12" builtinId="9" hidden="1"/>
    <cellStyle name="Hiperligação Visitada" xfId="16" builtinId="9" hidden="1"/>
    <cellStyle name="Hiperligação Visitada" xfId="18" builtinId="9" hidden="1"/>
    <cellStyle name="Hiperligação Visitada" xfId="14" builtinId="9" hidden="1"/>
    <cellStyle name="Hiperligação Visitada" xfId="20" builtinId="9" hidden="1"/>
    <cellStyle name="Hiperligação Visitada" xfId="10" builtinId="9" hidden="1"/>
    <cellStyle name="Hiperligação Visitada" xfId="46" builtinId="9" hidden="1"/>
    <cellStyle name="Hiperligação Visitada" xfId="60" builtinId="9" hidden="1"/>
    <cellStyle name="Hiperligação Visitada" xfId="50" builtinId="9" hidden="1"/>
    <cellStyle name="Hiperligação Visitada" xfId="40" builtinId="9" hidden="1"/>
    <cellStyle name="Hiperligação Visitada" xfId="24" builtinId="9" hidden="1"/>
    <cellStyle name="Hiperligação Visitada" xfId="26" builtinId="9" hidden="1"/>
    <cellStyle name="Hiperligação Visitada" xfId="32" builtinId="9" hidden="1"/>
    <cellStyle name="Hiperligação Visitada" xfId="34" builtinId="9" hidden="1"/>
    <cellStyle name="Hiperligação Visitada" xfId="36" builtinId="9" hidden="1"/>
    <cellStyle name="Hiperligação Visitada" xfId="28" builtinId="9" hidden="1"/>
    <cellStyle name="Hiperligação Visitada" xfId="70" builtinId="9" hidden="1"/>
    <cellStyle name="Hiperligação Visitada" xfId="66" builtinId="9" hidden="1"/>
    <cellStyle name="Hiperligação Visitada" xfId="72" builtinId="9" hidden="1"/>
    <cellStyle name="Hiperligação Visitada" xfId="68" builtinId="9" hidden="1"/>
    <cellStyle name="Normal" xfId="0" builtinId="0"/>
  </cellStyles>
  <dxfs count="11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D6630-4C0A-483F-B126-D1B308D1741D}" name="Tabela1" displayName="Tabela1" ref="L6:U11" totalsRowShown="0" dataDxfId="109">
  <autoFilter ref="L6:U11" xr:uid="{9E5D6630-4C0A-483F-B126-D1B308D1741D}"/>
  <tableColumns count="10">
    <tableColumn id="1" xr3:uid="{F9FF6940-CCF1-4A24-A9EE-12840A9AE36F}" name="Teste1" dataDxfId="108"/>
    <tableColumn id="2" xr3:uid="{90CA3C2B-D4B5-4CEF-BA84-66BC9F9C2A0C}" name="Teste2" dataDxfId="107"/>
    <tableColumn id="3" xr3:uid="{B99869B2-A7C0-4B72-BDE1-F0928911D4BC}" name="Teste3" dataDxfId="106"/>
    <tableColumn id="4" xr3:uid="{1F867B90-0F26-492F-B2B5-D8990E388508}" name="Teste4" dataDxfId="105"/>
    <tableColumn id="5" xr3:uid="{E734BF1E-FC4F-462F-987A-538816291EB5}" name="Teste5" dataDxfId="104"/>
    <tableColumn id="6" xr3:uid="{CD7D2966-E355-4D54-A96F-DC94334AD2AE}" name="Teste6" dataDxfId="103"/>
    <tableColumn id="7" xr3:uid="{3A6AE5A3-DE61-48E2-8C0C-4D29C838DA95}" name="Teste7" dataDxfId="102"/>
    <tableColumn id="8" xr3:uid="{8C9131D0-F4C5-4BFA-8108-FB1EAD6E33FF}" name="Teste8" dataDxfId="101"/>
    <tableColumn id="9" xr3:uid="{6295C307-3D4B-4BB9-B1A8-4B06E5282537}" name="Teste9" dataDxfId="100"/>
    <tableColumn id="10" xr3:uid="{85E0E121-DEE0-4893-B8E8-7DC7ECA7A283}" name="Teste10" dataDxfId="9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A1B2B8-FB26-482A-98A5-01E1833560CE}" name="Tabela114" displayName="Tabela114" ref="L13:U18" totalsRowShown="0" dataDxfId="98">
  <autoFilter ref="L13:U18" xr:uid="{60A1B2B8-FB26-482A-98A5-01E1833560CE}"/>
  <tableColumns count="10">
    <tableColumn id="1" xr3:uid="{7BC52172-B9BD-4987-B44C-748919B6B0EC}" name="Teste1" dataDxfId="97"/>
    <tableColumn id="2" xr3:uid="{7CD5CC82-1273-407D-879C-BED390AC36C0}" name="Teste2" dataDxfId="96"/>
    <tableColumn id="3" xr3:uid="{FA0C30ED-4A2A-47AC-B5CF-26AC8CB8781D}" name="Teste3" dataDxfId="95"/>
    <tableColumn id="4" xr3:uid="{EA0D0310-5CD6-4B21-B5B6-58D3A4760676}" name="Teste4" dataDxfId="94"/>
    <tableColumn id="5" xr3:uid="{81B67301-7284-4516-ABDE-CD5549360FB1}" name="Teste5" dataDxfId="93"/>
    <tableColumn id="6" xr3:uid="{D54053F6-D91B-4F2E-A4AD-891BA7FE81DB}" name="Teste6" dataDxfId="92"/>
    <tableColumn id="7" xr3:uid="{A1045AB0-58CC-4CA1-A37C-2E0A9380AEE2}" name="Teste7" dataDxfId="91"/>
    <tableColumn id="8" xr3:uid="{023C2685-5E1B-463C-866D-94ACFD1887AD}" name="Teste8" dataDxfId="90"/>
    <tableColumn id="9" xr3:uid="{6D0107EF-427F-4BE7-8AB8-35721B3530E5}" name="Teste9" dataDxfId="89"/>
    <tableColumn id="10" xr3:uid="{50132B3B-103C-407D-9897-504D1C2EAD0F}" name="Teste10" dataDxfId="8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A06194-2C52-46BE-8D95-A6597BB4691E}" name="Tabela13" displayName="Tabela13" ref="L8:U13" totalsRowShown="0" dataDxfId="87">
  <autoFilter ref="L8:U13" xr:uid="{9DA06194-2C52-46BE-8D95-A6597BB4691E}"/>
  <tableColumns count="10">
    <tableColumn id="1" xr3:uid="{7298848E-E2F8-48EE-9DDF-04464E8B8122}" name="Teste1" dataDxfId="86"/>
    <tableColumn id="2" xr3:uid="{DD3AF812-F399-4533-A572-BA8E441FE9C4}" name="Teste2" dataDxfId="85"/>
    <tableColumn id="3" xr3:uid="{E7F2084B-BC44-4D7C-B212-50594BC45070}" name="Teste3" dataDxfId="84"/>
    <tableColumn id="4" xr3:uid="{1C3C6ED7-B8D5-497A-A522-013E3307D19A}" name="Teste4" dataDxfId="83"/>
    <tableColumn id="5" xr3:uid="{EBEEEEE8-26DC-4C5B-880D-8C4CA8E80031}" name="Teste5" dataDxfId="82"/>
    <tableColumn id="6" xr3:uid="{C1603198-F5DF-4129-9632-C8ED13AB983B}" name="Teste6" dataDxfId="81"/>
    <tableColumn id="7" xr3:uid="{6158ACA2-3968-44B1-B24A-DE117382F5D5}" name="Teste7" dataDxfId="80"/>
    <tableColumn id="8" xr3:uid="{7CB19F49-12A4-4829-8D2C-94BDE7A38774}" name="Teste8" dataDxfId="79"/>
    <tableColumn id="9" xr3:uid="{18DF85D9-BD37-41F0-B778-0698CCF85FAA}" name="Teste9" dataDxfId="78"/>
    <tableColumn id="10" xr3:uid="{0462CAF9-3EE1-4796-809D-953BB192461D}" name="Teste10" dataDxfId="7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BEDDD0-C1EC-4F5C-AB54-B56B18045DBE}" name="Tabela134" displayName="Tabela134" ref="X8:AG13" totalsRowShown="0" dataDxfId="76">
  <autoFilter ref="X8:AG13" xr:uid="{15BEDDD0-C1EC-4F5C-AB54-B56B18045DBE}"/>
  <tableColumns count="10">
    <tableColumn id="1" xr3:uid="{41A2557A-EF0D-4703-AC01-A4B5A1B02213}" name="Teste1" dataDxfId="75"/>
    <tableColumn id="2" xr3:uid="{C5808C4A-3456-4970-9ADB-A35293C85E38}" name="Teste2" dataDxfId="74"/>
    <tableColumn id="3" xr3:uid="{B2867DDE-71F4-43C4-993F-276051935E4F}" name="Teste3" dataDxfId="73"/>
    <tableColumn id="4" xr3:uid="{86A5CFA5-29FF-4463-A6D6-8EC01A2B405F}" name="Teste4" dataDxfId="72"/>
    <tableColumn id="5" xr3:uid="{901BA91A-9E7C-4AAC-AC23-6AD918F326F1}" name="Teste5" dataDxfId="71"/>
    <tableColumn id="6" xr3:uid="{A4349529-1770-4295-8C97-BCD9EB2D29BD}" name="Teste6" dataDxfId="70"/>
    <tableColumn id="7" xr3:uid="{84230365-5E8B-4074-B3AB-BB93AB638CF0}" name="Teste7" dataDxfId="69"/>
    <tableColumn id="8" xr3:uid="{C0D0F911-23BC-4A9C-9AED-091209ECA50E}" name="Teste8" dataDxfId="68"/>
    <tableColumn id="9" xr3:uid="{8D4B5F62-C79E-4333-B508-CD9EC4A3D7ED}" name="Teste9" dataDxfId="67"/>
    <tableColumn id="10" xr3:uid="{CFB2A8D3-DC41-4792-8677-B938D5D093B5}" name="Teste10" dataDxfId="6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651067-AAE2-41CF-83EB-61FF25C0A3B7}" name="Tabela135" displayName="Tabela135" ref="L15:U20" totalsRowShown="0" dataDxfId="65">
  <autoFilter ref="L15:U20" xr:uid="{1D651067-AAE2-41CF-83EB-61FF25C0A3B7}"/>
  <tableColumns count="10">
    <tableColumn id="1" xr3:uid="{05CDB0BE-7D18-4788-9154-EA342598602C}" name="Teste1" dataDxfId="64"/>
    <tableColumn id="2" xr3:uid="{F2283304-416C-429A-8BB0-CB2FD3F45FEC}" name="Teste2" dataDxfId="63"/>
    <tableColumn id="3" xr3:uid="{48F15DBE-53CC-41F3-B7A2-7FA03593D62A}" name="Teste3" dataDxfId="62"/>
    <tableColumn id="4" xr3:uid="{D3C22E4F-69B5-4254-B3A5-FD0B8869B285}" name="Teste4" dataDxfId="61"/>
    <tableColumn id="5" xr3:uid="{74D6105A-B270-428F-8E24-98ACF37A4E95}" name="Teste5" dataDxfId="60"/>
    <tableColumn id="6" xr3:uid="{CECABB55-11CF-43D6-9657-830240E92655}" name="Teste6" dataDxfId="59"/>
    <tableColumn id="7" xr3:uid="{BB4B6712-AAB3-4C62-86F3-CFA17B092C6F}" name="Teste7" dataDxfId="58"/>
    <tableColumn id="8" xr3:uid="{0B06C737-DE6D-46AE-8C1C-6E07C5ED2103}" name="Teste8" dataDxfId="57"/>
    <tableColumn id="9" xr3:uid="{1EA34C13-876F-4F4D-9389-85CAA159F6AA}" name="Teste9" dataDxfId="56"/>
    <tableColumn id="10" xr3:uid="{A7F0308A-02BD-424E-930C-1EC9613CF599}" name="Teste10" dataDxfId="5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D59864-621C-476C-B473-A7A75B996748}" name="Tabela1346" displayName="Tabela1346" ref="X15:AG20" totalsRowShown="0" dataDxfId="54">
  <autoFilter ref="X15:AG20" xr:uid="{C0D59864-621C-476C-B473-A7A75B996748}"/>
  <tableColumns count="10">
    <tableColumn id="1" xr3:uid="{55295341-787C-4C34-95E3-623EAB9BD209}" name="Teste1" dataDxfId="53"/>
    <tableColumn id="2" xr3:uid="{961B48CF-3E3D-4FB1-8E6D-BEB9D24E6A3B}" name="Teste2" dataDxfId="52"/>
    <tableColumn id="3" xr3:uid="{B436AC9D-9CB4-48F9-A2BE-73DD6CCF5ADF}" name="Teste3" dataDxfId="51"/>
    <tableColumn id="4" xr3:uid="{C0406975-B1A3-47A5-A2D7-4BF3CB6568E9}" name="Teste4" dataDxfId="50"/>
    <tableColumn id="5" xr3:uid="{E8E10904-35D3-4708-A977-8F3792143205}" name="Teste5" dataDxfId="49"/>
    <tableColumn id="6" xr3:uid="{DD82C74A-BEDC-4B5A-893E-604AFB7D6349}" name="Teste6" dataDxfId="48"/>
    <tableColumn id="7" xr3:uid="{97EA820B-8AB6-460F-91F6-1894CA7C9D26}" name="Teste7" dataDxfId="47"/>
    <tableColumn id="8" xr3:uid="{484DE6C2-6251-48A5-A8EA-12DC452E052D}" name="Teste8" dataDxfId="46"/>
    <tableColumn id="9" xr3:uid="{0DCABC1F-FC8B-4161-B2F5-FB3CABA6AC35}" name="Teste9" dataDxfId="45"/>
    <tableColumn id="10" xr3:uid="{E5D57E9A-593B-4F68-8706-5EEA7D37291E}" name="Teste10" dataDxfId="4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238DDD-2F6A-479A-9918-B9B60F2E1FE8}" name="Tabela1357" displayName="Tabela1357" ref="L22:U27" totalsRowShown="0" dataDxfId="43">
  <autoFilter ref="L22:U27" xr:uid="{97238DDD-2F6A-479A-9918-B9B60F2E1FE8}"/>
  <tableColumns count="10">
    <tableColumn id="1" xr3:uid="{27A72F58-602A-4C02-B724-74EB46995637}" name="Teste1" dataDxfId="42"/>
    <tableColumn id="2" xr3:uid="{BF016B88-2CD3-4602-BC0C-0932FA34F0E2}" name="Teste2" dataDxfId="41"/>
    <tableColumn id="3" xr3:uid="{D35073FF-36F9-4F10-84B5-C7BF1F60CB1F}" name="Teste3" dataDxfId="40"/>
    <tableColumn id="4" xr3:uid="{B378925B-3379-4E6A-8B50-AD896106FBF9}" name="Teste4" dataDxfId="39"/>
    <tableColumn id="5" xr3:uid="{785ACC3A-307B-4D6C-8E1E-55837F22BA3C}" name="Teste5" dataDxfId="38"/>
    <tableColumn id="6" xr3:uid="{88656352-33FB-4C41-A4C1-1D97731EBB6F}" name="Teste6" dataDxfId="37"/>
    <tableColumn id="7" xr3:uid="{5F49ECCA-F21B-4339-97FF-05F890A0E413}" name="Teste7" dataDxfId="36"/>
    <tableColumn id="8" xr3:uid="{73721637-816F-4823-8BC1-F19EFE8ED30E}" name="Teste8" dataDxfId="35"/>
    <tableColumn id="9" xr3:uid="{D965F2DB-6FFC-45DB-AFF8-E6A49F783758}" name="Teste9" dataDxfId="34"/>
    <tableColumn id="10" xr3:uid="{03CDD883-0596-4FA1-B519-2382E686937B}" name="Teste10" dataDxfId="3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DAAE4EC-5123-40B9-B646-C34B756239E1}" name="Tabela13468" displayName="Tabela13468" ref="X22:AG27" totalsRowShown="0" dataDxfId="32">
  <autoFilter ref="X22:AG27" xr:uid="{7DAAE4EC-5123-40B9-B646-C34B756239E1}"/>
  <tableColumns count="10">
    <tableColumn id="1" xr3:uid="{C2E26315-C3CD-4399-A80D-CE6047569970}" name="Teste1" dataDxfId="31"/>
    <tableColumn id="2" xr3:uid="{B5CCF337-4AD2-4DC1-8609-71D26E23A7A7}" name="Teste2" dataDxfId="30"/>
    <tableColumn id="3" xr3:uid="{186D22EC-495B-4E22-970C-C3C8448BA19B}" name="Teste3" dataDxfId="29"/>
    <tableColumn id="4" xr3:uid="{FDA7FF09-702E-4F70-A931-9BA6A9FC8DC8}" name="Teste4" dataDxfId="28"/>
    <tableColumn id="5" xr3:uid="{51CD7370-39A3-46AE-AFE0-0F98082DD716}" name="Teste5" dataDxfId="27"/>
    <tableColumn id="6" xr3:uid="{2157E78B-6B54-4179-9E33-166E079EA85F}" name="Teste6" dataDxfId="26"/>
    <tableColumn id="7" xr3:uid="{87070DBA-4DC7-4591-9C26-B71DA5DF900F}" name="Teste7" dataDxfId="25"/>
    <tableColumn id="8" xr3:uid="{0CAF23DA-8E72-4707-888C-EFB59D1FB87E}" name="Teste8" dataDxfId="24"/>
    <tableColumn id="9" xr3:uid="{F9AF8918-B80A-4F90-9384-2C05EE2A39CE}" name="Teste9" dataDxfId="23"/>
    <tableColumn id="10" xr3:uid="{8FB1A9F5-9160-489F-A732-FC192E77AB09}" name="Teste10" dataDxfId="2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2DBE16-D766-4986-80BC-0E090415D44F}" name="Tabela1359" displayName="Tabela1359" ref="L29:U34" totalsRowShown="0" dataDxfId="21">
  <autoFilter ref="L29:U34" xr:uid="{372DBE16-D766-4986-80BC-0E090415D44F}"/>
  <tableColumns count="10">
    <tableColumn id="1" xr3:uid="{9EF476E6-2FD5-4DD1-BF22-65A6D721B029}" name="Teste1" dataDxfId="20"/>
    <tableColumn id="2" xr3:uid="{B0D417C2-BFC1-4677-9FBF-4B3DD6D79513}" name="Teste2" dataDxfId="19"/>
    <tableColumn id="3" xr3:uid="{69BA8558-5FA4-4318-A330-575EA7749B95}" name="Teste3" dataDxfId="18"/>
    <tableColumn id="4" xr3:uid="{BC9D0BD2-EA36-4C71-8250-1899310E7040}" name="Teste4" dataDxfId="17"/>
    <tableColumn id="5" xr3:uid="{4C45097A-0D8A-44C7-B755-3523712FF43F}" name="Teste5" dataDxfId="16"/>
    <tableColumn id="6" xr3:uid="{3AF2E16E-8146-403D-B701-5D045FCA77E3}" name="Teste6" dataDxfId="15"/>
    <tableColumn id="7" xr3:uid="{B11ABC62-E77E-4C6A-A534-E04F56B5F294}" name="Teste7" dataDxfId="14"/>
    <tableColumn id="8" xr3:uid="{87AF63CF-DEAF-4CD6-B3C8-19B035FE839E}" name="Teste8" dataDxfId="13"/>
    <tableColumn id="9" xr3:uid="{19D01184-13A4-42B2-8D12-0449919D54E9}" name="Teste9" dataDxfId="12"/>
    <tableColumn id="10" xr3:uid="{CB480892-E72D-4BC7-B765-6B01F265F754}" name="Teste10" dataDxfId="11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B4DAD4-122E-4ED1-BF5B-D915464AE7B2}" name="Tabela134610" displayName="Tabela134610" ref="X29:AG34" totalsRowShown="0" dataDxfId="10">
  <autoFilter ref="X29:AG34" xr:uid="{E9B4DAD4-122E-4ED1-BF5B-D915464AE7B2}"/>
  <tableColumns count="10">
    <tableColumn id="1" xr3:uid="{0B087826-0CEA-41C4-B101-56B78DCCBF99}" name="Teste1" dataDxfId="9"/>
    <tableColumn id="2" xr3:uid="{416D98F0-2B72-412F-88F5-5DF5AE8F986C}" name="Teste2" dataDxfId="8"/>
    <tableColumn id="3" xr3:uid="{B3FAF67F-2432-404D-B173-EC4965246591}" name="Teste3" dataDxfId="7"/>
    <tableColumn id="4" xr3:uid="{9BBE8632-525A-46A0-9C1C-1411A8D19C22}" name="Teste4" dataDxfId="6"/>
    <tableColumn id="5" xr3:uid="{6148A23D-61CB-48C0-9169-A6E3EA3962F2}" name="Teste5" dataDxfId="5"/>
    <tableColumn id="6" xr3:uid="{1EFAAB98-25E8-42B7-B222-0DB432E0E4C4}" name="Teste6" dataDxfId="4"/>
    <tableColumn id="7" xr3:uid="{8A5CBF24-495E-4D34-BD57-1723E96CA394}" name="Teste7" dataDxfId="3"/>
    <tableColumn id="8" xr3:uid="{A2FE914F-E099-4312-AB3D-80D8EAF94755}" name="Teste8" dataDxfId="2"/>
    <tableColumn id="9" xr3:uid="{DF117693-780D-48C2-B629-E3DEF33368D3}" name="Teste9" dataDxfId="1"/>
    <tableColumn id="10" xr3:uid="{92B2C3DD-E6D5-4026-ACE9-B1C7B2036D83}" name="Teste1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zoomScale="73" workbookViewId="0">
      <selection activeCell="E12" sqref="E12"/>
    </sheetView>
  </sheetViews>
  <sheetFormatPr defaultColWidth="11.19921875" defaultRowHeight="15.6" x14ac:dyDescent="0.3"/>
  <cols>
    <col min="1" max="1" width="28" customWidth="1"/>
    <col min="2" max="2" width="18" customWidth="1"/>
    <col min="3" max="3" width="14.5" bestFit="1" customWidth="1"/>
    <col min="4" max="4" width="20.69921875" bestFit="1" customWidth="1"/>
    <col min="5" max="5" width="15" bestFit="1" customWidth="1"/>
    <col min="6" max="6" width="14.59765625" customWidth="1"/>
    <col min="7" max="7" width="13.5" customWidth="1"/>
    <col min="8" max="8" width="11.5" customWidth="1"/>
    <col min="10" max="10" width="9" customWidth="1"/>
    <col min="11" max="11" width="15" customWidth="1"/>
  </cols>
  <sheetData>
    <row r="1" spans="1:22" ht="34.950000000000003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120</v>
      </c>
      <c r="H1" s="1" t="s">
        <v>5</v>
      </c>
      <c r="I1" s="1" t="s">
        <v>6</v>
      </c>
    </row>
    <row r="2" spans="1:22" ht="16.2" thickBot="1" x14ac:dyDescent="0.35"/>
    <row r="3" spans="1:22" ht="45.6" customHeight="1" thickBot="1" x14ac:dyDescent="0.35">
      <c r="A3" s="8" t="s">
        <v>7</v>
      </c>
      <c r="B3" s="7">
        <v>1</v>
      </c>
      <c r="C3" s="7">
        <v>10</v>
      </c>
      <c r="D3" s="7" t="s">
        <v>8</v>
      </c>
      <c r="E3" s="7" t="s">
        <v>9</v>
      </c>
      <c r="F3" s="7" t="s">
        <v>10</v>
      </c>
      <c r="G3" s="3">
        <v>20</v>
      </c>
      <c r="H3" s="4"/>
      <c r="I3" s="5"/>
    </row>
    <row r="4" spans="1:22" ht="16.2" customHeight="1" x14ac:dyDescent="0.3"/>
    <row r="5" spans="1:22" ht="16.2" thickBot="1" x14ac:dyDescent="0.35"/>
    <row r="6" spans="1:22" ht="55.95" customHeight="1" thickBot="1" x14ac:dyDescent="0.35">
      <c r="A6" s="12" t="s">
        <v>121</v>
      </c>
      <c r="B6" s="13"/>
      <c r="C6" s="13"/>
      <c r="D6" s="13"/>
      <c r="E6" s="13"/>
      <c r="F6" s="13"/>
      <c r="G6" s="13"/>
      <c r="H6" s="13"/>
      <c r="I6" s="14"/>
      <c r="L6" t="s">
        <v>12</v>
      </c>
      <c r="M6" t="s">
        <v>13</v>
      </c>
      <c r="N6" t="s">
        <v>14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 t="s">
        <v>21</v>
      </c>
    </row>
    <row r="7" spans="1:22" ht="40.200000000000003" customHeight="1" thickBot="1" x14ac:dyDescent="0.35">
      <c r="A7" s="2" t="s">
        <v>22</v>
      </c>
      <c r="B7" s="6">
        <v>1</v>
      </c>
      <c r="C7" s="6">
        <v>10</v>
      </c>
      <c r="D7" s="3" t="s">
        <v>8</v>
      </c>
      <c r="E7" s="3" t="s">
        <v>9</v>
      </c>
      <c r="F7" s="3" t="s">
        <v>10</v>
      </c>
      <c r="G7" s="3">
        <v>20</v>
      </c>
      <c r="H7" s="4">
        <f>AVERAGE(L7,M7,N7,O7,P7,Q7,R7,S7,T7,U7)</f>
        <v>100</v>
      </c>
      <c r="I7" s="5" t="s">
        <v>23</v>
      </c>
      <c r="K7" s="9" t="s">
        <v>5</v>
      </c>
      <c r="L7" s="10">
        <v>100</v>
      </c>
      <c r="M7" s="10">
        <v>100</v>
      </c>
      <c r="N7" s="10">
        <v>100</v>
      </c>
      <c r="O7" s="10">
        <v>100</v>
      </c>
      <c r="P7" s="10">
        <v>100</v>
      </c>
      <c r="Q7" s="10">
        <v>100</v>
      </c>
      <c r="R7" s="10">
        <v>100</v>
      </c>
      <c r="S7" s="10">
        <v>100</v>
      </c>
      <c r="T7" s="10">
        <v>100</v>
      </c>
      <c r="U7" s="10">
        <v>100</v>
      </c>
    </row>
    <row r="8" spans="1:22" ht="40.200000000000003" customHeight="1" thickBot="1" x14ac:dyDescent="0.35">
      <c r="A8" s="2" t="s">
        <v>24</v>
      </c>
      <c r="B8" s="6">
        <v>2</v>
      </c>
      <c r="C8" s="6" t="s">
        <v>25</v>
      </c>
      <c r="D8" s="3" t="s">
        <v>26</v>
      </c>
      <c r="E8" s="3" t="s">
        <v>9</v>
      </c>
      <c r="F8" s="3" t="s">
        <v>10</v>
      </c>
      <c r="G8" s="3">
        <v>20</v>
      </c>
      <c r="H8" s="4">
        <f>AVERAGE(Tabela1[#This Row])</f>
        <v>100</v>
      </c>
      <c r="I8" s="5" t="s">
        <v>23</v>
      </c>
      <c r="K8" s="9" t="s">
        <v>5</v>
      </c>
      <c r="L8" s="10">
        <v>100</v>
      </c>
      <c r="M8" s="10">
        <v>100</v>
      </c>
      <c r="N8" s="10">
        <v>100</v>
      </c>
      <c r="O8" s="10">
        <v>100</v>
      </c>
      <c r="P8" s="10">
        <v>100</v>
      </c>
      <c r="Q8" s="10">
        <v>100</v>
      </c>
      <c r="R8" s="10">
        <v>100</v>
      </c>
      <c r="S8" s="10">
        <v>100</v>
      </c>
      <c r="T8" s="10">
        <v>100</v>
      </c>
      <c r="U8" s="10">
        <v>100</v>
      </c>
    </row>
    <row r="9" spans="1:22" ht="40.200000000000003" customHeight="1" thickBot="1" x14ac:dyDescent="0.35">
      <c r="A9" s="2" t="s">
        <v>27</v>
      </c>
      <c r="B9" s="6">
        <v>2</v>
      </c>
      <c r="C9" s="6" t="s">
        <v>28</v>
      </c>
      <c r="D9" s="3" t="s">
        <v>26</v>
      </c>
      <c r="E9" s="3" t="s">
        <v>9</v>
      </c>
      <c r="F9" s="3" t="s">
        <v>10</v>
      </c>
      <c r="G9" s="3">
        <v>20</v>
      </c>
      <c r="H9" s="4">
        <f>AVERAGE(Tabela1[#This Row])</f>
        <v>100</v>
      </c>
      <c r="I9" s="5" t="s">
        <v>23</v>
      </c>
      <c r="K9" s="9" t="s">
        <v>5</v>
      </c>
      <c r="L9" s="10">
        <v>100</v>
      </c>
      <c r="M9" s="10">
        <v>100</v>
      </c>
      <c r="N9" s="10">
        <v>100</v>
      </c>
      <c r="O9" s="10">
        <v>100</v>
      </c>
      <c r="P9" s="10">
        <v>100</v>
      </c>
      <c r="Q9" s="10">
        <v>100</v>
      </c>
      <c r="R9" s="10">
        <v>100</v>
      </c>
      <c r="S9" s="10">
        <v>100</v>
      </c>
      <c r="T9" s="10">
        <v>100</v>
      </c>
      <c r="U9" s="10">
        <v>100</v>
      </c>
    </row>
    <row r="10" spans="1:22" ht="40.200000000000003" customHeight="1" thickBot="1" x14ac:dyDescent="0.35">
      <c r="A10" s="2" t="s">
        <v>29</v>
      </c>
      <c r="B10" s="6">
        <v>2</v>
      </c>
      <c r="C10" s="6">
        <v>10.15</v>
      </c>
      <c r="D10" s="3" t="s">
        <v>26</v>
      </c>
      <c r="E10" s="3" t="s">
        <v>9</v>
      </c>
      <c r="F10" s="3" t="s">
        <v>10</v>
      </c>
      <c r="G10" s="3">
        <v>20</v>
      </c>
      <c r="H10" s="4">
        <f>AVERAGE(Tabela1[#This Row])</f>
        <v>100</v>
      </c>
      <c r="I10" s="5" t="s">
        <v>23</v>
      </c>
      <c r="K10" s="9" t="s">
        <v>5</v>
      </c>
      <c r="L10" s="10">
        <v>100</v>
      </c>
      <c r="M10" s="10">
        <v>100</v>
      </c>
      <c r="N10" s="10">
        <v>100</v>
      </c>
      <c r="O10" s="10">
        <v>100</v>
      </c>
      <c r="P10" s="10">
        <v>100</v>
      </c>
      <c r="Q10" s="10">
        <v>100</v>
      </c>
      <c r="R10" s="10">
        <v>100</v>
      </c>
      <c r="S10" s="10">
        <v>100</v>
      </c>
      <c r="T10" s="10">
        <v>100</v>
      </c>
      <c r="U10" s="10">
        <v>100</v>
      </c>
    </row>
    <row r="11" spans="1:22" ht="38.4" customHeight="1" thickBot="1" x14ac:dyDescent="0.35">
      <c r="A11" s="2" t="s">
        <v>30</v>
      </c>
      <c r="B11" s="6">
        <v>3</v>
      </c>
      <c r="C11" s="6" t="s">
        <v>31</v>
      </c>
      <c r="D11" s="3" t="s">
        <v>32</v>
      </c>
      <c r="E11" s="3" t="s">
        <v>9</v>
      </c>
      <c r="F11" s="3" t="s">
        <v>10</v>
      </c>
      <c r="G11" s="3">
        <v>20</v>
      </c>
      <c r="H11" s="4">
        <f>AVERAGE(Tabela1[#This Row])</f>
        <v>100</v>
      </c>
      <c r="I11" s="5" t="s">
        <v>23</v>
      </c>
      <c r="K11" s="9" t="s">
        <v>5</v>
      </c>
      <c r="L11" s="10">
        <v>100</v>
      </c>
      <c r="M11" s="10">
        <v>100</v>
      </c>
      <c r="N11" s="10">
        <v>100</v>
      </c>
      <c r="O11" s="10">
        <v>100</v>
      </c>
      <c r="P11" s="11">
        <v>100</v>
      </c>
      <c r="Q11" s="10">
        <v>100</v>
      </c>
      <c r="R11" s="10">
        <v>100</v>
      </c>
      <c r="S11" s="10">
        <v>100</v>
      </c>
      <c r="T11" s="10">
        <v>100</v>
      </c>
      <c r="U11" s="10">
        <v>100</v>
      </c>
    </row>
    <row r="12" spans="1:22" ht="53.25" customHeight="1" thickBot="1" x14ac:dyDescent="0.35">
      <c r="V12" t="s">
        <v>33</v>
      </c>
    </row>
    <row r="13" spans="1:22" ht="55.95" customHeight="1" thickBot="1" x14ac:dyDescent="0.35">
      <c r="A13" s="12" t="s">
        <v>122</v>
      </c>
      <c r="B13" s="13"/>
      <c r="C13" s="13"/>
      <c r="D13" s="13"/>
      <c r="E13" s="13"/>
      <c r="F13" s="13"/>
      <c r="G13" s="13"/>
      <c r="H13" s="13"/>
      <c r="I13" s="14"/>
      <c r="L13" t="s">
        <v>12</v>
      </c>
      <c r="M13" t="s">
        <v>13</v>
      </c>
      <c r="N13" t="s">
        <v>14</v>
      </c>
      <c r="O13" t="s">
        <v>15</v>
      </c>
      <c r="P13" t="s">
        <v>16</v>
      </c>
      <c r="Q13" t="s">
        <v>17</v>
      </c>
      <c r="R13" t="s">
        <v>18</v>
      </c>
      <c r="S13" t="s">
        <v>19</v>
      </c>
      <c r="T13" t="s">
        <v>20</v>
      </c>
      <c r="U13" t="s">
        <v>21</v>
      </c>
    </row>
    <row r="14" spans="1:22" ht="55.95" customHeight="1" thickBot="1" x14ac:dyDescent="0.35">
      <c r="A14" s="2" t="s">
        <v>22</v>
      </c>
      <c r="B14" s="6">
        <v>1</v>
      </c>
      <c r="C14" s="6">
        <v>10</v>
      </c>
      <c r="D14" s="3" t="s">
        <v>8</v>
      </c>
      <c r="E14" s="3" t="s">
        <v>9</v>
      </c>
      <c r="F14" s="3" t="s">
        <v>34</v>
      </c>
      <c r="G14" s="3">
        <v>20</v>
      </c>
      <c r="H14" s="4">
        <f>AVERAGE(L14,M14,N14,O14,P14,Q14,R14,S14,T14,U14)</f>
        <v>80</v>
      </c>
      <c r="I14" s="5" t="s">
        <v>23</v>
      </c>
      <c r="K14" s="9" t="s">
        <v>5</v>
      </c>
      <c r="L14" s="10" t="s">
        <v>123</v>
      </c>
      <c r="M14" s="10">
        <v>80</v>
      </c>
      <c r="N14" s="10" t="s">
        <v>123</v>
      </c>
      <c r="O14" s="10">
        <v>70</v>
      </c>
      <c r="P14" s="10" t="s">
        <v>124</v>
      </c>
      <c r="Q14" s="10">
        <v>80</v>
      </c>
      <c r="R14" s="10" t="s">
        <v>81</v>
      </c>
      <c r="S14" s="10">
        <v>80</v>
      </c>
      <c r="T14" s="10">
        <v>90</v>
      </c>
      <c r="U14" s="10" t="s">
        <v>81</v>
      </c>
    </row>
    <row r="15" spans="1:22" ht="31.8" thickBot="1" x14ac:dyDescent="0.35">
      <c r="A15" s="2" t="s">
        <v>24</v>
      </c>
      <c r="B15" s="6">
        <v>2</v>
      </c>
      <c r="C15" s="6" t="s">
        <v>25</v>
      </c>
      <c r="D15" s="3" t="s">
        <v>26</v>
      </c>
      <c r="E15" s="3" t="s">
        <v>9</v>
      </c>
      <c r="F15" s="3" t="s">
        <v>34</v>
      </c>
      <c r="G15" s="3">
        <v>20</v>
      </c>
      <c r="H15" s="4">
        <f>AVERAGE(Tabela114[#This Row])</f>
        <v>78</v>
      </c>
      <c r="I15" s="5" t="s">
        <v>23</v>
      </c>
      <c r="K15" s="9" t="s">
        <v>5</v>
      </c>
      <c r="L15" s="10" t="s">
        <v>57</v>
      </c>
      <c r="M15" s="10" t="s">
        <v>123</v>
      </c>
      <c r="N15" s="10" t="s">
        <v>81</v>
      </c>
      <c r="O15" s="10">
        <v>80</v>
      </c>
      <c r="P15" s="10">
        <v>80</v>
      </c>
      <c r="Q15" s="10">
        <v>90</v>
      </c>
      <c r="R15" s="10" t="s">
        <v>42</v>
      </c>
      <c r="S15" s="10" t="s">
        <v>123</v>
      </c>
      <c r="T15" s="10">
        <v>50</v>
      </c>
      <c r="U15" s="10">
        <v>90</v>
      </c>
    </row>
    <row r="16" spans="1:22" ht="31.8" thickBot="1" x14ac:dyDescent="0.35">
      <c r="A16" s="2" t="s">
        <v>27</v>
      </c>
      <c r="B16" s="6">
        <v>2</v>
      </c>
      <c r="C16" s="6" t="s">
        <v>28</v>
      </c>
      <c r="D16" s="3" t="s">
        <v>26</v>
      </c>
      <c r="E16" s="3" t="s">
        <v>9</v>
      </c>
      <c r="F16" s="3" t="s">
        <v>34</v>
      </c>
      <c r="G16" s="3">
        <v>20</v>
      </c>
      <c r="H16" s="4">
        <f>AVERAGE(Tabela114[#This Row])</f>
        <v>60</v>
      </c>
      <c r="I16" s="5" t="s">
        <v>23</v>
      </c>
      <c r="K16" s="9" t="s">
        <v>5</v>
      </c>
      <c r="L16" s="10" t="s">
        <v>125</v>
      </c>
      <c r="M16" s="10" t="s">
        <v>125</v>
      </c>
      <c r="N16" s="10" t="s">
        <v>42</v>
      </c>
      <c r="O16" s="10" t="s">
        <v>126</v>
      </c>
      <c r="P16" s="10" t="s">
        <v>124</v>
      </c>
      <c r="Q16" s="10" t="s">
        <v>42</v>
      </c>
      <c r="R16" s="10">
        <v>50</v>
      </c>
      <c r="S16" s="10">
        <v>80</v>
      </c>
      <c r="T16" s="10">
        <v>30</v>
      </c>
      <c r="U16" s="10">
        <v>80</v>
      </c>
    </row>
    <row r="17" spans="1:21" ht="31.8" thickBot="1" x14ac:dyDescent="0.35">
      <c r="A17" s="2" t="s">
        <v>29</v>
      </c>
      <c r="B17" s="6">
        <v>2</v>
      </c>
      <c r="C17" s="6">
        <v>10.15</v>
      </c>
      <c r="D17" s="3" t="s">
        <v>26</v>
      </c>
      <c r="E17" s="3" t="s">
        <v>9</v>
      </c>
      <c r="F17" s="3" t="s">
        <v>34</v>
      </c>
      <c r="G17" s="3">
        <v>20</v>
      </c>
      <c r="H17" s="4">
        <f>AVERAGE(Tabela114[#This Row])</f>
        <v>83.333333333333329</v>
      </c>
      <c r="I17" s="5" t="s">
        <v>23</v>
      </c>
      <c r="K17" s="9" t="s">
        <v>5</v>
      </c>
      <c r="L17" s="10" t="s">
        <v>123</v>
      </c>
      <c r="M17" s="10" t="s">
        <v>123</v>
      </c>
      <c r="N17" s="10">
        <v>80</v>
      </c>
      <c r="O17" s="10" t="s">
        <v>123</v>
      </c>
      <c r="P17" s="10">
        <v>90</v>
      </c>
      <c r="Q17" s="10" t="s">
        <v>123</v>
      </c>
      <c r="R17" s="10" t="s">
        <v>124</v>
      </c>
      <c r="S17" s="10" t="s">
        <v>123</v>
      </c>
      <c r="T17" s="10">
        <v>80</v>
      </c>
      <c r="U17" s="10" t="s">
        <v>42</v>
      </c>
    </row>
    <row r="18" spans="1:21" ht="31.8" thickBot="1" x14ac:dyDescent="0.35">
      <c r="A18" s="2" t="s">
        <v>30</v>
      </c>
      <c r="B18" s="6">
        <v>3</v>
      </c>
      <c r="C18" s="6" t="s">
        <v>31</v>
      </c>
      <c r="D18" s="3" t="s">
        <v>32</v>
      </c>
      <c r="E18" s="3" t="s">
        <v>9</v>
      </c>
      <c r="F18" s="3" t="s">
        <v>34</v>
      </c>
      <c r="G18" s="3">
        <v>20</v>
      </c>
      <c r="H18" s="4">
        <f>AVERAGE(Tabela114[#This Row])</f>
        <v>80</v>
      </c>
      <c r="I18" s="5" t="s">
        <v>23</v>
      </c>
      <c r="K18" s="9" t="s">
        <v>5</v>
      </c>
      <c r="L18" s="10" t="s">
        <v>126</v>
      </c>
      <c r="M18" s="10">
        <v>80</v>
      </c>
      <c r="N18" s="10" t="s">
        <v>123</v>
      </c>
      <c r="O18" s="10" t="s">
        <v>81</v>
      </c>
      <c r="P18" s="11" t="s">
        <v>81</v>
      </c>
      <c r="Q18" s="10" t="s">
        <v>81</v>
      </c>
      <c r="R18" s="10">
        <v>80</v>
      </c>
      <c r="S18" s="10">
        <v>80</v>
      </c>
      <c r="T18" s="10">
        <v>80</v>
      </c>
      <c r="U18" s="10" t="s">
        <v>127</v>
      </c>
    </row>
  </sheetData>
  <mergeCells count="2">
    <mergeCell ref="A6:I6"/>
    <mergeCell ref="A13:I13"/>
  </mergeCells>
  <phoneticPr fontId="7" type="noConversion"/>
  <pageMargins left="0.75" right="0.75" top="1" bottom="1" header="0.5" footer="0.5"/>
  <pageSetup paperSize="9" orientation="portrait" horizontalDpi="4294967292" verticalDpi="429496729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630B-744F-497B-9CDE-CA1F481B9F3B}">
  <dimension ref="A2:AG34"/>
  <sheetViews>
    <sheetView tabSelected="1" topLeftCell="D1" zoomScale="79" workbookViewId="0">
      <selection activeCell="J28" sqref="J28"/>
    </sheetView>
  </sheetViews>
  <sheetFormatPr defaultRowHeight="15.6" x14ac:dyDescent="0.3"/>
  <cols>
    <col min="1" max="1" width="20" customWidth="1"/>
    <col min="2" max="2" width="14.3984375" customWidth="1"/>
    <col min="3" max="3" width="14.5" customWidth="1"/>
    <col min="4" max="4" width="19.3984375" customWidth="1"/>
    <col min="5" max="5" width="11.09765625" customWidth="1"/>
    <col min="6" max="7" width="13.59765625" customWidth="1"/>
    <col min="8" max="8" width="13.19921875" customWidth="1"/>
    <col min="9" max="9" width="14.8984375" customWidth="1"/>
    <col min="11" max="11" width="17.09765625" customWidth="1"/>
    <col min="23" max="23" width="13.8984375" customWidth="1"/>
  </cols>
  <sheetData>
    <row r="2" spans="1:33" ht="3.6" customHeight="1" x14ac:dyDescent="0.3"/>
    <row r="3" spans="1:33" hidden="1" x14ac:dyDescent="0.3"/>
    <row r="4" spans="1:33" ht="50.4" customHeigh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120</v>
      </c>
      <c r="H4" s="1" t="s">
        <v>5</v>
      </c>
      <c r="I4" s="1" t="s">
        <v>6</v>
      </c>
    </row>
    <row r="5" spans="1:33" ht="16.2" thickBot="1" x14ac:dyDescent="0.35"/>
    <row r="6" spans="1:33" ht="47.4" customHeight="1" thickBot="1" x14ac:dyDescent="0.35">
      <c r="A6" s="8" t="s">
        <v>7</v>
      </c>
      <c r="B6" s="7">
        <v>1</v>
      </c>
      <c r="C6" s="7">
        <v>10</v>
      </c>
      <c r="D6" s="7" t="s">
        <v>8</v>
      </c>
      <c r="E6" s="7" t="s">
        <v>9</v>
      </c>
      <c r="F6" s="7" t="s">
        <v>34</v>
      </c>
      <c r="G6" s="3">
        <v>20</v>
      </c>
      <c r="H6" s="4"/>
      <c r="I6" s="5"/>
    </row>
    <row r="7" spans="1:33" ht="54" customHeight="1" thickBot="1" x14ac:dyDescent="0.35"/>
    <row r="8" spans="1:33" ht="26.4" customHeight="1" thickBot="1" x14ac:dyDescent="0.35">
      <c r="A8" s="12" t="s">
        <v>11</v>
      </c>
      <c r="B8" s="13"/>
      <c r="C8" s="13"/>
      <c r="D8" s="13"/>
      <c r="E8" s="13"/>
      <c r="F8" s="13"/>
      <c r="G8" s="13"/>
      <c r="H8" s="13"/>
      <c r="I8" s="14"/>
      <c r="L8" t="s">
        <v>12</v>
      </c>
      <c r="M8" t="s">
        <v>13</v>
      </c>
      <c r="N8" t="s">
        <v>14</v>
      </c>
      <c r="O8" t="s">
        <v>15</v>
      </c>
      <c r="P8" t="s">
        <v>16</v>
      </c>
      <c r="Q8" t="s">
        <v>17</v>
      </c>
      <c r="R8" t="s">
        <v>18</v>
      </c>
      <c r="S8" t="s">
        <v>19</v>
      </c>
      <c r="T8" t="s">
        <v>20</v>
      </c>
      <c r="U8" t="s">
        <v>21</v>
      </c>
      <c r="X8" t="s">
        <v>12</v>
      </c>
      <c r="Y8" t="s">
        <v>13</v>
      </c>
      <c r="Z8" t="s">
        <v>14</v>
      </c>
      <c r="AA8" t="s">
        <v>15</v>
      </c>
      <c r="AB8" t="s">
        <v>16</v>
      </c>
      <c r="AC8" t="s">
        <v>17</v>
      </c>
      <c r="AD8" t="s">
        <v>18</v>
      </c>
      <c r="AE8" t="s">
        <v>19</v>
      </c>
      <c r="AF8" t="s">
        <v>20</v>
      </c>
      <c r="AG8" t="s">
        <v>21</v>
      </c>
    </row>
    <row r="9" spans="1:33" ht="47.4" thickBot="1" x14ac:dyDescent="0.35">
      <c r="A9" s="2" t="s">
        <v>22</v>
      </c>
      <c r="B9" s="6">
        <v>1</v>
      </c>
      <c r="C9" s="6">
        <v>10</v>
      </c>
      <c r="D9" s="3" t="s">
        <v>8</v>
      </c>
      <c r="E9" s="3" t="s">
        <v>9</v>
      </c>
      <c r="F9" s="3" t="s">
        <v>34</v>
      </c>
      <c r="G9" s="3">
        <v>20</v>
      </c>
      <c r="H9" s="4">
        <f>AVERAGE(Tabela13[#This Row])</f>
        <v>91</v>
      </c>
      <c r="I9" s="5">
        <f>AVERAGE(Tabela134[#This Row])</f>
        <v>80</v>
      </c>
      <c r="J9" t="s">
        <v>119</v>
      </c>
      <c r="K9" s="9" t="s">
        <v>5</v>
      </c>
      <c r="L9" s="10" t="s">
        <v>35</v>
      </c>
      <c r="M9" s="10" t="s">
        <v>35</v>
      </c>
      <c r="N9" s="10">
        <v>91</v>
      </c>
      <c r="O9" s="10" t="s">
        <v>36</v>
      </c>
      <c r="P9" s="10">
        <v>91</v>
      </c>
      <c r="Q9" s="10" t="s">
        <v>37</v>
      </c>
      <c r="R9" s="10" t="s">
        <v>38</v>
      </c>
      <c r="S9" s="10" t="s">
        <v>39</v>
      </c>
      <c r="T9" s="10" t="s">
        <v>40</v>
      </c>
      <c r="U9" s="10" t="s">
        <v>41</v>
      </c>
      <c r="W9" s="9" t="s">
        <v>6</v>
      </c>
      <c r="X9" s="10" t="s">
        <v>42</v>
      </c>
      <c r="Y9" s="10" t="s">
        <v>43</v>
      </c>
      <c r="Z9" s="10" t="s">
        <v>44</v>
      </c>
      <c r="AA9" s="10" t="s">
        <v>45</v>
      </c>
      <c r="AB9" s="10" t="s">
        <v>46</v>
      </c>
      <c r="AC9" s="10">
        <v>80</v>
      </c>
      <c r="AD9" s="10" t="s">
        <v>47</v>
      </c>
      <c r="AE9" s="10" t="s">
        <v>48</v>
      </c>
      <c r="AF9" s="10">
        <v>80</v>
      </c>
      <c r="AG9" s="10" t="s">
        <v>49</v>
      </c>
    </row>
    <row r="10" spans="1:33" ht="47.4" thickBot="1" x14ac:dyDescent="0.35">
      <c r="A10" s="2" t="s">
        <v>24</v>
      </c>
      <c r="B10" s="6">
        <v>2</v>
      </c>
      <c r="C10" s="6" t="s">
        <v>25</v>
      </c>
      <c r="D10" s="3" t="s">
        <v>26</v>
      </c>
      <c r="E10" s="3" t="s">
        <v>9</v>
      </c>
      <c r="F10" s="3" t="s">
        <v>34</v>
      </c>
      <c r="G10" s="3">
        <v>20</v>
      </c>
      <c r="H10" s="4">
        <f>AVERAGE(Tabela13[#This Row])</f>
        <v>90.23299999999999</v>
      </c>
      <c r="I10" s="5">
        <f>AVERAGE(Tabela134[#This Row])</f>
        <v>70.222999999999999</v>
      </c>
      <c r="J10" t="s">
        <v>119</v>
      </c>
      <c r="K10" s="9" t="s">
        <v>5</v>
      </c>
      <c r="L10" s="10">
        <v>85.33</v>
      </c>
      <c r="M10" s="10">
        <v>91.33</v>
      </c>
      <c r="N10" s="10">
        <v>91</v>
      </c>
      <c r="O10" s="10">
        <v>88.33</v>
      </c>
      <c r="P10" s="10">
        <v>90.67</v>
      </c>
      <c r="Q10" s="10">
        <v>90</v>
      </c>
      <c r="R10" s="10">
        <v>89.67</v>
      </c>
      <c r="S10" s="10">
        <v>93.67</v>
      </c>
      <c r="T10" s="10">
        <v>91.33</v>
      </c>
      <c r="U10" s="10">
        <v>91</v>
      </c>
      <c r="W10" s="9" t="s">
        <v>6</v>
      </c>
      <c r="X10" s="10">
        <v>71.11</v>
      </c>
      <c r="Y10" s="10">
        <v>71.11</v>
      </c>
      <c r="Z10" s="10">
        <v>68.89</v>
      </c>
      <c r="AA10" s="10">
        <v>71.11</v>
      </c>
      <c r="AB10" s="10">
        <v>75.56</v>
      </c>
      <c r="AC10" s="10">
        <v>64.44</v>
      </c>
      <c r="AD10" s="10">
        <v>66.67</v>
      </c>
      <c r="AE10" s="10">
        <v>75.56</v>
      </c>
      <c r="AF10" s="10">
        <v>71.11</v>
      </c>
      <c r="AG10" s="10">
        <v>66.67</v>
      </c>
    </row>
    <row r="11" spans="1:33" ht="47.4" thickBot="1" x14ac:dyDescent="0.35">
      <c r="A11" s="2" t="s">
        <v>27</v>
      </c>
      <c r="B11" s="6">
        <v>2</v>
      </c>
      <c r="C11" s="6" t="s">
        <v>28</v>
      </c>
      <c r="D11" s="3" t="s">
        <v>26</v>
      </c>
      <c r="E11" s="3" t="s">
        <v>9</v>
      </c>
      <c r="F11" s="3" t="s">
        <v>34</v>
      </c>
      <c r="G11" s="3">
        <v>20</v>
      </c>
      <c r="H11" s="4">
        <f>AVERAGE(Tabela13[#This Row])</f>
        <v>89</v>
      </c>
      <c r="I11" s="5">
        <v>65.209999999999994</v>
      </c>
      <c r="K11" s="9" t="s">
        <v>5</v>
      </c>
      <c r="L11" s="10" t="s">
        <v>35</v>
      </c>
      <c r="M11" s="10" t="s">
        <v>35</v>
      </c>
      <c r="N11" s="10" t="s">
        <v>40</v>
      </c>
      <c r="O11" s="10" t="s">
        <v>36</v>
      </c>
      <c r="P11" s="10" t="s">
        <v>50</v>
      </c>
      <c r="Q11" s="10" t="s">
        <v>51</v>
      </c>
      <c r="R11" s="10" t="s">
        <v>52</v>
      </c>
      <c r="S11" s="10" t="s">
        <v>53</v>
      </c>
      <c r="T11" s="10">
        <v>89</v>
      </c>
      <c r="U11" s="10" t="s">
        <v>54</v>
      </c>
      <c r="W11" s="9" t="s">
        <v>6</v>
      </c>
      <c r="X11" s="10" t="s">
        <v>46</v>
      </c>
      <c r="Y11" s="10" t="s">
        <v>45</v>
      </c>
      <c r="Z11" s="10" t="s">
        <v>42</v>
      </c>
      <c r="AA11" s="10" t="s">
        <v>55</v>
      </c>
      <c r="AB11" s="10" t="s">
        <v>46</v>
      </c>
      <c r="AC11" s="10" t="s">
        <v>56</v>
      </c>
      <c r="AD11" s="10" t="s">
        <v>45</v>
      </c>
      <c r="AE11" s="10" t="s">
        <v>57</v>
      </c>
      <c r="AF11" s="10" t="s">
        <v>48</v>
      </c>
      <c r="AG11" s="10" t="s">
        <v>56</v>
      </c>
    </row>
    <row r="12" spans="1:33" ht="47.4" thickBot="1" x14ac:dyDescent="0.35">
      <c r="A12" s="2" t="s">
        <v>29</v>
      </c>
      <c r="B12" s="6">
        <v>2</v>
      </c>
      <c r="C12" s="6">
        <v>10.15</v>
      </c>
      <c r="D12" s="3" t="s">
        <v>26</v>
      </c>
      <c r="E12" s="3" t="s">
        <v>9</v>
      </c>
      <c r="F12" s="3" t="s">
        <v>34</v>
      </c>
      <c r="G12" s="3">
        <v>20</v>
      </c>
      <c r="H12" s="4">
        <f>AVERAGE(Tabela13[#This Row])</f>
        <v>90.266000000000005</v>
      </c>
      <c r="I12" s="5">
        <f>AVERAGE(Tabela134[#This Row])</f>
        <v>65.333999999999989</v>
      </c>
      <c r="K12" s="9" t="s">
        <v>5</v>
      </c>
      <c r="L12" s="10">
        <v>92.33</v>
      </c>
      <c r="M12" s="10">
        <v>89.67</v>
      </c>
      <c r="N12" s="10">
        <v>92.33</v>
      </c>
      <c r="O12" s="10">
        <v>89.67</v>
      </c>
      <c r="P12" s="10">
        <v>88</v>
      </c>
      <c r="Q12" s="10">
        <v>90.33</v>
      </c>
      <c r="R12" s="10">
        <v>90.33</v>
      </c>
      <c r="S12" s="10">
        <v>92.67</v>
      </c>
      <c r="T12" s="10">
        <v>91.33</v>
      </c>
      <c r="U12" s="10">
        <v>86</v>
      </c>
      <c r="W12" s="9" t="s">
        <v>6</v>
      </c>
      <c r="X12" s="10">
        <v>66.67</v>
      </c>
      <c r="Y12" s="10">
        <v>57.78</v>
      </c>
      <c r="Z12" s="10">
        <v>66.67</v>
      </c>
      <c r="AA12" s="10">
        <v>62.22</v>
      </c>
      <c r="AB12" s="10">
        <v>64.44</v>
      </c>
      <c r="AC12" s="10">
        <v>64.44</v>
      </c>
      <c r="AD12" s="10">
        <v>66.67</v>
      </c>
      <c r="AE12" s="10">
        <v>71.11</v>
      </c>
      <c r="AF12" s="10">
        <v>77.78</v>
      </c>
      <c r="AG12" s="10">
        <v>55.56</v>
      </c>
    </row>
    <row r="13" spans="1:33" ht="16.2" hidden="1" thickBot="1" x14ac:dyDescent="0.35">
      <c r="A13" s="2"/>
      <c r="B13" s="6"/>
      <c r="C13" s="6"/>
      <c r="D13" s="3"/>
      <c r="E13" s="3"/>
      <c r="F13" s="3"/>
      <c r="G13" s="3"/>
      <c r="H13" s="4"/>
      <c r="I13" s="5"/>
      <c r="K13" s="9"/>
      <c r="L13" s="10"/>
      <c r="M13" s="10"/>
      <c r="N13" s="10"/>
      <c r="O13" s="10"/>
      <c r="P13" s="11"/>
      <c r="Q13" s="10"/>
      <c r="R13" s="10"/>
      <c r="S13" s="10"/>
      <c r="T13" s="10"/>
      <c r="U13" s="10"/>
      <c r="W13" s="9"/>
      <c r="X13" s="10"/>
      <c r="Y13" s="10"/>
      <c r="Z13" s="10"/>
      <c r="AA13" s="10"/>
      <c r="AB13" s="11"/>
      <c r="AC13" s="10"/>
      <c r="AD13" s="10"/>
      <c r="AE13" s="10"/>
      <c r="AF13" s="10"/>
      <c r="AG13" s="10"/>
    </row>
    <row r="14" spans="1:33" ht="66.599999999999994" customHeight="1" thickBot="1" x14ac:dyDescent="0.35"/>
    <row r="15" spans="1:33" ht="26.4" thickBot="1" x14ac:dyDescent="0.35">
      <c r="A15" s="15" t="s">
        <v>58</v>
      </c>
      <c r="B15" s="16"/>
      <c r="C15" s="16"/>
      <c r="D15" s="16"/>
      <c r="E15" s="16"/>
      <c r="F15" s="16"/>
      <c r="G15" s="16"/>
      <c r="H15" s="16"/>
      <c r="I15" s="17"/>
      <c r="L15" t="s">
        <v>12</v>
      </c>
      <c r="M15" t="s">
        <v>13</v>
      </c>
      <c r="N15" t="s">
        <v>14</v>
      </c>
      <c r="O15" t="s">
        <v>15</v>
      </c>
      <c r="P15" t="s">
        <v>16</v>
      </c>
      <c r="Q15" t="s">
        <v>17</v>
      </c>
      <c r="R15" t="s">
        <v>18</v>
      </c>
      <c r="S15" t="s">
        <v>19</v>
      </c>
      <c r="T15" t="s">
        <v>20</v>
      </c>
      <c r="U15" t="s">
        <v>21</v>
      </c>
      <c r="X15" t="s">
        <v>12</v>
      </c>
      <c r="Y15" t="s">
        <v>13</v>
      </c>
      <c r="Z15" t="s">
        <v>14</v>
      </c>
      <c r="AA15" t="s">
        <v>15</v>
      </c>
      <c r="AB15" t="s">
        <v>16</v>
      </c>
      <c r="AC15" t="s">
        <v>17</v>
      </c>
      <c r="AD15" t="s">
        <v>18</v>
      </c>
      <c r="AE15" t="s">
        <v>19</v>
      </c>
      <c r="AF15" t="s">
        <v>20</v>
      </c>
      <c r="AG15" t="s">
        <v>21</v>
      </c>
    </row>
    <row r="16" spans="1:33" ht="47.4" thickBot="1" x14ac:dyDescent="0.35">
      <c r="A16" s="2" t="s">
        <v>22</v>
      </c>
      <c r="B16" s="3">
        <v>1</v>
      </c>
      <c r="C16" s="3">
        <v>10</v>
      </c>
      <c r="D16" s="3" t="s">
        <v>8</v>
      </c>
      <c r="E16" s="6" t="s">
        <v>59</v>
      </c>
      <c r="F16" s="3" t="s">
        <v>34</v>
      </c>
      <c r="G16" s="3">
        <v>20</v>
      </c>
      <c r="H16" s="4">
        <f>AVERAGE(Tabela135[#This Row])</f>
        <v>16</v>
      </c>
      <c r="I16" s="5">
        <f>AVERAGE(Tabela1346[#This Row])</f>
        <v>20</v>
      </c>
      <c r="K16" s="9" t="s">
        <v>5</v>
      </c>
      <c r="L16" s="10">
        <v>18</v>
      </c>
      <c r="M16" s="10" t="s">
        <v>60</v>
      </c>
      <c r="N16" s="10" t="s">
        <v>61</v>
      </c>
      <c r="O16" s="10">
        <v>13</v>
      </c>
      <c r="P16" s="10">
        <v>19</v>
      </c>
      <c r="Q16" s="10">
        <v>14</v>
      </c>
      <c r="R16" s="10" t="s">
        <v>62</v>
      </c>
      <c r="S16" s="10" t="s">
        <v>63</v>
      </c>
      <c r="T16" s="10" t="s">
        <v>64</v>
      </c>
      <c r="U16" s="10" t="s">
        <v>62</v>
      </c>
      <c r="W16" s="9" t="s">
        <v>6</v>
      </c>
      <c r="X16" s="10" t="s">
        <v>65</v>
      </c>
      <c r="Y16" s="10" t="s">
        <v>65</v>
      </c>
      <c r="Z16" s="10">
        <v>20</v>
      </c>
      <c r="AA16" s="10" t="s">
        <v>66</v>
      </c>
      <c r="AB16" s="10" t="s">
        <v>67</v>
      </c>
      <c r="AC16" s="10" t="s">
        <v>68</v>
      </c>
      <c r="AD16" s="10" t="s">
        <v>69</v>
      </c>
      <c r="AE16" s="10" t="s">
        <v>70</v>
      </c>
      <c r="AF16" s="10" t="s">
        <v>71</v>
      </c>
      <c r="AG16" s="10" t="s">
        <v>72</v>
      </c>
    </row>
    <row r="17" spans="1:33" ht="47.4" thickBot="1" x14ac:dyDescent="0.35">
      <c r="A17" s="2" t="s">
        <v>24</v>
      </c>
      <c r="B17" s="3">
        <v>1</v>
      </c>
      <c r="C17" s="3">
        <v>10</v>
      </c>
      <c r="D17" s="3" t="s">
        <v>8</v>
      </c>
      <c r="E17" s="6" t="s">
        <v>73</v>
      </c>
      <c r="F17" s="3" t="s">
        <v>34</v>
      </c>
      <c r="G17" s="3">
        <v>20</v>
      </c>
      <c r="H17" s="4">
        <f>AVERAGE(Tabela135[#This Row])</f>
        <v>36.232999999999997</v>
      </c>
      <c r="I17" s="5">
        <f>AVERAGE(Tabela1346[#This Row])</f>
        <v>35.942999999999998</v>
      </c>
      <c r="K17" s="9" t="s">
        <v>5</v>
      </c>
      <c r="L17" s="10">
        <v>45.67</v>
      </c>
      <c r="M17" s="10">
        <v>28.33</v>
      </c>
      <c r="N17" s="10">
        <v>32</v>
      </c>
      <c r="O17" s="10">
        <v>35.33</v>
      </c>
      <c r="P17" s="10">
        <v>41</v>
      </c>
      <c r="Q17" s="10">
        <v>38.67</v>
      </c>
      <c r="R17" s="10">
        <v>30.33</v>
      </c>
      <c r="S17" s="10">
        <v>34</v>
      </c>
      <c r="T17" s="10">
        <v>36.67</v>
      </c>
      <c r="U17" s="10">
        <v>40.33</v>
      </c>
      <c r="W17" s="9" t="s">
        <v>6</v>
      </c>
      <c r="X17" s="10">
        <v>44.44</v>
      </c>
      <c r="Y17" s="10">
        <v>28.89</v>
      </c>
      <c r="Z17" s="10">
        <v>30</v>
      </c>
      <c r="AA17" s="10">
        <v>33.33</v>
      </c>
      <c r="AB17" s="10">
        <v>42.22</v>
      </c>
      <c r="AC17" s="10">
        <v>39.44</v>
      </c>
      <c r="AD17" s="10">
        <v>31.11</v>
      </c>
      <c r="AE17" s="10">
        <v>32.22</v>
      </c>
      <c r="AF17" s="10">
        <v>37.78</v>
      </c>
      <c r="AG17" s="10">
        <v>40</v>
      </c>
    </row>
    <row r="18" spans="1:33" ht="47.4" thickBot="1" x14ac:dyDescent="0.35">
      <c r="A18" s="2" t="s">
        <v>27</v>
      </c>
      <c r="B18" s="3">
        <v>1</v>
      </c>
      <c r="C18" s="3">
        <v>10</v>
      </c>
      <c r="D18" s="3" t="s">
        <v>8</v>
      </c>
      <c r="E18" s="6" t="s">
        <v>74</v>
      </c>
      <c r="F18" s="3" t="s">
        <v>34</v>
      </c>
      <c r="G18" s="3">
        <v>20</v>
      </c>
      <c r="H18" s="4">
        <f>AVERAGE(Tabela135[#This Row])</f>
        <v>92</v>
      </c>
      <c r="I18" s="5">
        <f>AVERAGE(Tabela1346[#This Row])</f>
        <v>80</v>
      </c>
      <c r="J18" t="s">
        <v>119</v>
      </c>
      <c r="K18" s="9" t="s">
        <v>5</v>
      </c>
      <c r="L18" s="10" t="s">
        <v>75</v>
      </c>
      <c r="M18" s="10" t="s">
        <v>76</v>
      </c>
      <c r="N18" s="10" t="s">
        <v>77</v>
      </c>
      <c r="O18" s="10" t="s">
        <v>76</v>
      </c>
      <c r="P18" s="10" t="s">
        <v>78</v>
      </c>
      <c r="Q18" s="10" t="s">
        <v>37</v>
      </c>
      <c r="R18" s="10" t="s">
        <v>79</v>
      </c>
      <c r="S18" s="10" t="s">
        <v>37</v>
      </c>
      <c r="T18" s="10">
        <v>92</v>
      </c>
      <c r="U18" s="10" t="s">
        <v>75</v>
      </c>
      <c r="W18" s="9" t="s">
        <v>6</v>
      </c>
      <c r="X18" s="10" t="s">
        <v>80</v>
      </c>
      <c r="Y18" s="10" t="s">
        <v>47</v>
      </c>
      <c r="Z18" s="10" t="s">
        <v>47</v>
      </c>
      <c r="AA18" s="10" t="s">
        <v>81</v>
      </c>
      <c r="AB18" s="10" t="s">
        <v>81</v>
      </c>
      <c r="AC18" s="10" t="s">
        <v>81</v>
      </c>
      <c r="AD18" s="10">
        <v>80</v>
      </c>
      <c r="AE18" s="10" t="s">
        <v>82</v>
      </c>
      <c r="AF18" s="10" t="s">
        <v>82</v>
      </c>
      <c r="AG18" s="10" t="s">
        <v>44</v>
      </c>
    </row>
    <row r="19" spans="1:33" ht="47.4" thickBot="1" x14ac:dyDescent="0.35">
      <c r="A19" s="2" t="s">
        <v>29</v>
      </c>
      <c r="B19" s="3">
        <v>1</v>
      </c>
      <c r="C19" s="3">
        <v>10</v>
      </c>
      <c r="D19" s="3" t="s">
        <v>8</v>
      </c>
      <c r="E19" s="6" t="s">
        <v>83</v>
      </c>
      <c r="F19" s="3" t="s">
        <v>34</v>
      </c>
      <c r="G19" s="3">
        <v>20</v>
      </c>
      <c r="H19" s="4">
        <f>AVERAGE(Tabela135[#This Row])</f>
        <v>34.965999999999994</v>
      </c>
      <c r="I19" s="5">
        <f>AVERAGE(Tabela1346[#This Row])</f>
        <v>31.776</v>
      </c>
      <c r="K19" s="9" t="s">
        <v>5</v>
      </c>
      <c r="L19" s="10">
        <v>54</v>
      </c>
      <c r="M19" s="10">
        <v>25.33</v>
      </c>
      <c r="N19" s="10">
        <v>28.33</v>
      </c>
      <c r="O19" s="10">
        <v>26.67</v>
      </c>
      <c r="P19" s="10">
        <v>33.33</v>
      </c>
      <c r="Q19" s="10">
        <v>39.67</v>
      </c>
      <c r="R19" s="10">
        <v>51.33</v>
      </c>
      <c r="S19" s="10">
        <v>27</v>
      </c>
      <c r="T19" s="10">
        <v>34.67</v>
      </c>
      <c r="U19" s="10">
        <v>29.33</v>
      </c>
      <c r="W19" s="9" t="s">
        <v>6</v>
      </c>
      <c r="X19" s="10">
        <v>46.67</v>
      </c>
      <c r="Y19" s="10">
        <v>20</v>
      </c>
      <c r="Z19" s="10">
        <v>24.44</v>
      </c>
      <c r="AA19" s="10">
        <v>22.22</v>
      </c>
      <c r="AB19" s="10">
        <v>24.44</v>
      </c>
      <c r="AC19" s="10">
        <v>40</v>
      </c>
      <c r="AD19" s="10">
        <v>48.89</v>
      </c>
      <c r="AE19" s="10">
        <v>24.44</v>
      </c>
      <c r="AF19" s="10">
        <v>33.33</v>
      </c>
      <c r="AG19" s="10">
        <v>33.33</v>
      </c>
    </row>
    <row r="20" spans="1:33" ht="1.95" hidden="1" customHeight="1" thickBot="1" x14ac:dyDescent="0.35">
      <c r="A20" s="2"/>
      <c r="B20" s="3"/>
      <c r="C20" s="3"/>
      <c r="D20" s="3"/>
      <c r="E20" s="3"/>
      <c r="F20" s="3"/>
      <c r="G20" s="3"/>
      <c r="H20" s="4"/>
      <c r="I20" s="5"/>
      <c r="K20" s="9"/>
      <c r="L20" s="10"/>
      <c r="M20" s="10"/>
      <c r="N20" s="10"/>
      <c r="O20" s="10"/>
      <c r="P20" s="11"/>
      <c r="Q20" s="10"/>
      <c r="R20" s="10"/>
      <c r="S20" s="10"/>
      <c r="T20" s="10"/>
      <c r="U20" s="10"/>
      <c r="W20" s="9"/>
      <c r="X20" s="10"/>
      <c r="Y20" s="10"/>
      <c r="Z20" s="10"/>
      <c r="AA20" s="10"/>
      <c r="AB20" s="11"/>
      <c r="AC20" s="10"/>
      <c r="AD20" s="10"/>
      <c r="AE20" s="10"/>
      <c r="AF20" s="10"/>
      <c r="AG20" s="10"/>
    </row>
    <row r="21" spans="1:33" ht="50.25" customHeight="1" thickBot="1" x14ac:dyDescent="0.35"/>
    <row r="22" spans="1:33" ht="26.4" thickBot="1" x14ac:dyDescent="0.35">
      <c r="A22" s="12" t="s">
        <v>84</v>
      </c>
      <c r="B22" s="13"/>
      <c r="C22" s="13"/>
      <c r="D22" s="13"/>
      <c r="E22" s="13"/>
      <c r="F22" s="13"/>
      <c r="G22" s="13"/>
      <c r="H22" s="13"/>
      <c r="I22" s="14"/>
      <c r="L22" t="s">
        <v>12</v>
      </c>
      <c r="M22" t="s">
        <v>13</v>
      </c>
      <c r="N22" t="s">
        <v>14</v>
      </c>
      <c r="O22" t="s">
        <v>15</v>
      </c>
      <c r="P22" t="s">
        <v>16</v>
      </c>
      <c r="Q22" t="s">
        <v>17</v>
      </c>
      <c r="R22" t="s">
        <v>18</v>
      </c>
      <c r="S22" t="s">
        <v>19</v>
      </c>
      <c r="T22" t="s">
        <v>20</v>
      </c>
      <c r="U22" t="s">
        <v>21</v>
      </c>
      <c r="X22" t="s">
        <v>12</v>
      </c>
      <c r="Y22" t="s">
        <v>13</v>
      </c>
      <c r="Z22" t="s">
        <v>14</v>
      </c>
      <c r="AA22" t="s">
        <v>15</v>
      </c>
      <c r="AB22" t="s">
        <v>16</v>
      </c>
      <c r="AC22" t="s">
        <v>17</v>
      </c>
      <c r="AD22" t="s">
        <v>18</v>
      </c>
      <c r="AE22" t="s">
        <v>19</v>
      </c>
      <c r="AF22" t="s">
        <v>20</v>
      </c>
      <c r="AG22" t="s">
        <v>21</v>
      </c>
    </row>
    <row r="23" spans="1:33" ht="46.8" x14ac:dyDescent="0.3">
      <c r="A23" s="2" t="s">
        <v>22</v>
      </c>
      <c r="B23" s="3">
        <v>1</v>
      </c>
      <c r="C23" s="3">
        <v>10</v>
      </c>
      <c r="D23" s="6" t="s">
        <v>85</v>
      </c>
      <c r="E23" s="3" t="s">
        <v>9</v>
      </c>
      <c r="F23" s="3" t="s">
        <v>34</v>
      </c>
      <c r="G23" s="3">
        <v>20</v>
      </c>
      <c r="H23" s="4">
        <f>AVERAGE(Tabela1357[#This Row])</f>
        <v>91.666666666666671</v>
      </c>
      <c r="I23" s="5">
        <f>AVERAGE(Tabela13468[#This Row])</f>
        <v>60</v>
      </c>
      <c r="K23" s="9" t="s">
        <v>5</v>
      </c>
      <c r="L23" s="10" t="s">
        <v>37</v>
      </c>
      <c r="M23" s="10">
        <v>89</v>
      </c>
      <c r="N23" s="10" t="s">
        <v>40</v>
      </c>
      <c r="O23" s="10" t="s">
        <v>86</v>
      </c>
      <c r="P23" s="10">
        <v>93</v>
      </c>
      <c r="Q23" s="10">
        <v>93</v>
      </c>
      <c r="R23" s="10" t="s">
        <v>87</v>
      </c>
      <c r="S23" s="10" t="s">
        <v>51</v>
      </c>
      <c r="T23" s="10" t="s">
        <v>75</v>
      </c>
      <c r="U23" s="10" t="s">
        <v>38</v>
      </c>
      <c r="W23" s="9" t="s">
        <v>6</v>
      </c>
      <c r="X23" s="10" t="s">
        <v>46</v>
      </c>
      <c r="Y23" s="10" t="s">
        <v>56</v>
      </c>
      <c r="Z23" s="10" t="s">
        <v>42</v>
      </c>
      <c r="AA23" s="10" t="s">
        <v>45</v>
      </c>
      <c r="AB23" s="10" t="s">
        <v>44</v>
      </c>
      <c r="AC23" s="10" t="s">
        <v>56</v>
      </c>
      <c r="AD23" s="10">
        <v>60</v>
      </c>
      <c r="AE23" s="10" t="s">
        <v>45</v>
      </c>
      <c r="AF23" s="10" t="s">
        <v>80</v>
      </c>
      <c r="AG23" s="10" t="s">
        <v>44</v>
      </c>
    </row>
    <row r="24" spans="1:33" ht="46.8" x14ac:dyDescent="0.3">
      <c r="A24" s="2" t="s">
        <v>24</v>
      </c>
      <c r="B24" s="3">
        <v>1</v>
      </c>
      <c r="C24" s="3">
        <v>10</v>
      </c>
      <c r="D24" s="6" t="s">
        <v>88</v>
      </c>
      <c r="E24" s="3" t="s">
        <v>9</v>
      </c>
      <c r="F24" s="3" t="s">
        <v>34</v>
      </c>
      <c r="G24" s="3">
        <v>20</v>
      </c>
      <c r="H24" s="4">
        <f>AVERAGE(Tabela1357[#This Row])</f>
        <v>29.335000000000001</v>
      </c>
      <c r="I24" s="5">
        <f>AVERAGE(Tabela13468[#This Row])</f>
        <v>27.777999999999999</v>
      </c>
      <c r="K24" s="9" t="s">
        <v>5</v>
      </c>
      <c r="L24" s="10">
        <v>31.67</v>
      </c>
      <c r="M24" s="10">
        <v>28.67</v>
      </c>
      <c r="N24" s="10">
        <v>34.67</v>
      </c>
      <c r="O24" s="10">
        <v>31.33</v>
      </c>
      <c r="P24" s="10">
        <v>26</v>
      </c>
      <c r="Q24" s="10">
        <v>24</v>
      </c>
      <c r="R24" s="10">
        <v>33.67</v>
      </c>
      <c r="S24" s="10">
        <v>32</v>
      </c>
      <c r="T24" s="10">
        <v>28.67</v>
      </c>
      <c r="U24" s="10">
        <v>22.67</v>
      </c>
      <c r="W24" s="9" t="s">
        <v>6</v>
      </c>
      <c r="X24" s="10">
        <v>37.78</v>
      </c>
      <c r="Y24" s="10">
        <v>31.11</v>
      </c>
      <c r="Z24" s="10">
        <v>33.33</v>
      </c>
      <c r="AA24" s="10">
        <v>20</v>
      </c>
      <c r="AB24" s="10">
        <v>17.78</v>
      </c>
      <c r="AC24" s="10">
        <v>22.22</v>
      </c>
      <c r="AD24" s="10">
        <v>28.89</v>
      </c>
      <c r="AE24" s="10">
        <v>37.78</v>
      </c>
      <c r="AF24" s="10">
        <v>26.67</v>
      </c>
      <c r="AG24" s="10">
        <v>22.22</v>
      </c>
    </row>
    <row r="25" spans="1:33" ht="40.200000000000003" customHeight="1" x14ac:dyDescent="0.3">
      <c r="A25" s="2" t="s">
        <v>27</v>
      </c>
      <c r="B25" s="3">
        <v>1</v>
      </c>
      <c r="C25" s="3">
        <v>10</v>
      </c>
      <c r="D25" s="6" t="s">
        <v>89</v>
      </c>
      <c r="E25" s="3" t="s">
        <v>9</v>
      </c>
      <c r="F25" s="3" t="s">
        <v>34</v>
      </c>
      <c r="G25" s="3">
        <v>20</v>
      </c>
      <c r="H25" s="4">
        <f>AVERAGE(Tabela1357[#This Row])</f>
        <v>77</v>
      </c>
      <c r="I25" s="5">
        <f>AVERAGE(Tabela13468[#This Row])</f>
        <v>40</v>
      </c>
      <c r="K25" s="9" t="s">
        <v>5</v>
      </c>
      <c r="L25" s="10">
        <v>68</v>
      </c>
      <c r="M25" s="10" t="s">
        <v>90</v>
      </c>
      <c r="N25" s="10" t="s">
        <v>91</v>
      </c>
      <c r="O25" s="10" t="s">
        <v>92</v>
      </c>
      <c r="P25" s="10" t="s">
        <v>93</v>
      </c>
      <c r="Q25" s="10" t="s">
        <v>94</v>
      </c>
      <c r="R25" s="10">
        <v>82</v>
      </c>
      <c r="S25" s="10">
        <v>83</v>
      </c>
      <c r="T25" s="10">
        <v>75</v>
      </c>
      <c r="U25" s="10" t="s">
        <v>95</v>
      </c>
      <c r="W25" s="9" t="s">
        <v>6</v>
      </c>
      <c r="X25" s="10" t="s">
        <v>57</v>
      </c>
      <c r="Y25" s="10">
        <v>40</v>
      </c>
      <c r="Z25" s="10" t="s">
        <v>96</v>
      </c>
      <c r="AA25" s="10" t="s">
        <v>97</v>
      </c>
      <c r="AB25" s="10" t="s">
        <v>98</v>
      </c>
      <c r="AC25" s="10" t="s">
        <v>99</v>
      </c>
      <c r="AD25" s="10" t="s">
        <v>48</v>
      </c>
      <c r="AE25" s="10" t="s">
        <v>56</v>
      </c>
      <c r="AF25" s="10" t="s">
        <v>100</v>
      </c>
      <c r="AG25" s="10" t="s">
        <v>46</v>
      </c>
    </row>
    <row r="26" spans="1:33" ht="39.6" customHeight="1" x14ac:dyDescent="0.3">
      <c r="A26" s="2" t="s">
        <v>29</v>
      </c>
      <c r="B26" s="3">
        <v>1</v>
      </c>
      <c r="C26" s="3">
        <v>10</v>
      </c>
      <c r="D26" s="6" t="s">
        <v>101</v>
      </c>
      <c r="E26" s="3" t="s">
        <v>9</v>
      </c>
      <c r="F26" s="3" t="s">
        <v>34</v>
      </c>
      <c r="G26" s="3">
        <v>20</v>
      </c>
      <c r="H26" s="4">
        <f>AVERAGE(Tabela1357[#This Row])</f>
        <v>36.101000000000006</v>
      </c>
      <c r="I26" s="5">
        <f>AVERAGE(Tabela13468[#This Row])</f>
        <v>30</v>
      </c>
      <c r="K26" s="9" t="s">
        <v>5</v>
      </c>
      <c r="L26" s="10">
        <v>40</v>
      </c>
      <c r="M26" s="10">
        <v>36.67</v>
      </c>
      <c r="N26" s="10">
        <v>34.33</v>
      </c>
      <c r="O26" s="10">
        <v>37</v>
      </c>
      <c r="P26" s="10">
        <v>40.67</v>
      </c>
      <c r="Q26" s="10">
        <v>28.67</v>
      </c>
      <c r="R26" s="10">
        <v>38</v>
      </c>
      <c r="S26" s="10">
        <v>33</v>
      </c>
      <c r="T26" s="10">
        <v>36</v>
      </c>
      <c r="U26" s="10">
        <v>36.67</v>
      </c>
      <c r="W26" s="9" t="s">
        <v>6</v>
      </c>
      <c r="X26" s="10">
        <v>28.89</v>
      </c>
      <c r="Y26" s="10">
        <v>33.33</v>
      </c>
      <c r="Z26" s="10">
        <v>26.67</v>
      </c>
      <c r="AA26" s="10">
        <v>33.33</v>
      </c>
      <c r="AB26" s="10">
        <v>37.78</v>
      </c>
      <c r="AC26" s="10">
        <v>26.67</v>
      </c>
      <c r="AD26" s="10">
        <v>31.11</v>
      </c>
      <c r="AE26" s="10">
        <v>28.89</v>
      </c>
      <c r="AF26" s="10">
        <v>24.44</v>
      </c>
      <c r="AG26" s="10">
        <v>28.89</v>
      </c>
    </row>
    <row r="27" spans="1:33" ht="0.6" customHeight="1" x14ac:dyDescent="0.3">
      <c r="A27" s="2"/>
      <c r="B27" s="3"/>
      <c r="C27" s="3"/>
      <c r="D27" s="3"/>
      <c r="E27" s="3"/>
      <c r="F27" s="3"/>
      <c r="G27" s="3"/>
      <c r="H27" s="4"/>
      <c r="I27" s="5"/>
      <c r="K27" s="9"/>
      <c r="L27" s="10"/>
      <c r="M27" s="10"/>
      <c r="N27" s="10"/>
      <c r="O27" s="10"/>
      <c r="P27" s="11"/>
      <c r="Q27" s="10"/>
      <c r="R27" s="10"/>
      <c r="S27" s="10"/>
      <c r="T27" s="10"/>
      <c r="U27" s="10"/>
      <c r="W27" s="9"/>
      <c r="X27" s="10"/>
      <c r="Y27" s="10"/>
      <c r="Z27" s="10"/>
      <c r="AA27" s="10"/>
      <c r="AB27" s="11"/>
      <c r="AC27" s="10"/>
      <c r="AD27" s="10"/>
      <c r="AE27" s="10"/>
      <c r="AF27" s="10"/>
      <c r="AG27" s="10"/>
    </row>
    <row r="28" spans="1:33" ht="75.599999999999994" customHeight="1" x14ac:dyDescent="0.3"/>
    <row r="29" spans="1:33" ht="25.8" x14ac:dyDescent="0.3">
      <c r="A29" s="12" t="s">
        <v>102</v>
      </c>
      <c r="B29" s="13"/>
      <c r="C29" s="13"/>
      <c r="D29" s="13"/>
      <c r="E29" s="13"/>
      <c r="F29" s="13"/>
      <c r="G29" s="13"/>
      <c r="H29" s="13"/>
      <c r="I29" s="14"/>
      <c r="L29" t="s">
        <v>12</v>
      </c>
      <c r="M29" t="s">
        <v>13</v>
      </c>
      <c r="N29" t="s">
        <v>14</v>
      </c>
      <c r="O29" t="s">
        <v>15</v>
      </c>
      <c r="P29" t="s">
        <v>16</v>
      </c>
      <c r="Q29" t="s">
        <v>17</v>
      </c>
      <c r="R29" t="s">
        <v>18</v>
      </c>
      <c r="S29" t="s">
        <v>19</v>
      </c>
      <c r="T29" t="s">
        <v>20</v>
      </c>
      <c r="U29" t="s">
        <v>21</v>
      </c>
      <c r="X29" t="s">
        <v>12</v>
      </c>
      <c r="Y29" t="s">
        <v>13</v>
      </c>
      <c r="Z29" t="s">
        <v>14</v>
      </c>
      <c r="AA29" t="s">
        <v>15</v>
      </c>
      <c r="AB29" t="s">
        <v>16</v>
      </c>
      <c r="AC29" t="s">
        <v>17</v>
      </c>
      <c r="AD29" t="s">
        <v>18</v>
      </c>
      <c r="AE29" t="s">
        <v>19</v>
      </c>
      <c r="AF29" t="s">
        <v>20</v>
      </c>
      <c r="AG29" t="s">
        <v>21</v>
      </c>
    </row>
    <row r="30" spans="1:33" ht="47.4" thickBot="1" x14ac:dyDescent="0.35">
      <c r="A30" s="2" t="s">
        <v>22</v>
      </c>
      <c r="B30" s="3">
        <v>1</v>
      </c>
      <c r="C30" s="3">
        <v>10</v>
      </c>
      <c r="D30" s="3" t="s">
        <v>8</v>
      </c>
      <c r="E30" s="3" t="s">
        <v>9</v>
      </c>
      <c r="F30" s="6" t="s">
        <v>103</v>
      </c>
      <c r="G30" s="3">
        <v>20</v>
      </c>
      <c r="H30" s="4">
        <f>AVERAGE(Tabela1359[#This Row])</f>
        <v>74.2</v>
      </c>
      <c r="I30" s="5">
        <f>AVERAGE(Tabela134610[#This Row])</f>
        <v>59.8</v>
      </c>
      <c r="K30" s="9" t="s">
        <v>5</v>
      </c>
      <c r="L30" s="10" t="s">
        <v>104</v>
      </c>
      <c r="M30" s="10">
        <v>72</v>
      </c>
      <c r="N30" s="10" t="s">
        <v>105</v>
      </c>
      <c r="O30" s="10" t="s">
        <v>106</v>
      </c>
      <c r="P30" s="10" t="s">
        <v>42</v>
      </c>
      <c r="Q30" s="10">
        <v>74</v>
      </c>
      <c r="R30" s="10">
        <v>77</v>
      </c>
      <c r="S30" s="10" t="s">
        <v>104</v>
      </c>
      <c r="T30" s="10">
        <v>72</v>
      </c>
      <c r="U30" s="10">
        <v>76</v>
      </c>
      <c r="W30" s="9" t="s">
        <v>6</v>
      </c>
      <c r="X30" s="10">
        <v>53</v>
      </c>
      <c r="Y30" s="10">
        <v>58</v>
      </c>
      <c r="Z30" s="10">
        <v>60</v>
      </c>
      <c r="AA30" s="10">
        <v>56</v>
      </c>
      <c r="AB30" s="10">
        <v>59</v>
      </c>
      <c r="AC30" s="10">
        <v>66</v>
      </c>
      <c r="AD30" s="10">
        <v>61</v>
      </c>
      <c r="AE30" s="10">
        <v>55</v>
      </c>
      <c r="AF30" s="10">
        <v>59</v>
      </c>
      <c r="AG30" s="10">
        <v>71</v>
      </c>
    </row>
    <row r="31" spans="1:33" ht="54" customHeight="1" thickBot="1" x14ac:dyDescent="0.35">
      <c r="A31" s="2" t="s">
        <v>24</v>
      </c>
      <c r="B31" s="3">
        <v>1</v>
      </c>
      <c r="C31" s="3">
        <v>10</v>
      </c>
      <c r="D31" s="3" t="s">
        <v>8</v>
      </c>
      <c r="E31" s="3" t="s">
        <v>9</v>
      </c>
      <c r="F31" s="6" t="s">
        <v>107</v>
      </c>
      <c r="G31" s="3">
        <v>20</v>
      </c>
      <c r="H31" s="4">
        <f>AVERAGE(Tabela1359[#This Row])</f>
        <v>87.933999999999997</v>
      </c>
      <c r="I31" s="5">
        <f>AVERAGE(Tabela134610[#This Row])</f>
        <v>59.998000000000005</v>
      </c>
      <c r="K31" s="9" t="s">
        <v>5</v>
      </c>
      <c r="L31" s="10">
        <v>96</v>
      </c>
      <c r="M31" s="10">
        <v>94.67</v>
      </c>
      <c r="N31" s="10">
        <v>94.33</v>
      </c>
      <c r="O31" s="10">
        <v>53</v>
      </c>
      <c r="P31" s="10">
        <v>97.67</v>
      </c>
      <c r="Q31" s="10">
        <v>89.67</v>
      </c>
      <c r="R31" s="10">
        <v>94.67</v>
      </c>
      <c r="S31" s="10">
        <v>96.33</v>
      </c>
      <c r="T31" s="10">
        <v>75.33</v>
      </c>
      <c r="U31" s="10">
        <v>87.67</v>
      </c>
      <c r="W31" s="9" t="s">
        <v>6</v>
      </c>
      <c r="X31" s="10">
        <v>53.33</v>
      </c>
      <c r="Y31" s="10">
        <v>73.33</v>
      </c>
      <c r="Z31" s="10">
        <v>33.33</v>
      </c>
      <c r="AA31" s="10">
        <v>33.33</v>
      </c>
      <c r="AB31" s="10">
        <v>80</v>
      </c>
      <c r="AC31" s="10">
        <v>60</v>
      </c>
      <c r="AD31" s="10">
        <v>80</v>
      </c>
      <c r="AE31" s="10">
        <v>73.33</v>
      </c>
      <c r="AF31" s="10">
        <v>60</v>
      </c>
      <c r="AG31" s="10">
        <v>53.33</v>
      </c>
    </row>
    <row r="32" spans="1:33" ht="39" customHeight="1" thickBot="1" x14ac:dyDescent="0.35">
      <c r="A32" s="2" t="s">
        <v>27</v>
      </c>
      <c r="B32" s="3">
        <v>1</v>
      </c>
      <c r="C32" s="3">
        <v>10</v>
      </c>
      <c r="D32" s="3" t="s">
        <v>8</v>
      </c>
      <c r="E32" s="3" t="s">
        <v>9</v>
      </c>
      <c r="F32" s="6" t="s">
        <v>108</v>
      </c>
      <c r="G32" s="3">
        <v>20</v>
      </c>
      <c r="H32" s="4">
        <f>AVERAGE(Tabela1359[#This Row])</f>
        <v>82.5</v>
      </c>
      <c r="I32" s="5">
        <f>AVERAGE(Tabela134610[#This Row])</f>
        <v>69.333333333333329</v>
      </c>
      <c r="K32" s="9" t="s">
        <v>5</v>
      </c>
      <c r="L32" s="10">
        <v>81</v>
      </c>
      <c r="M32" s="10">
        <v>85</v>
      </c>
      <c r="N32" s="10" t="s">
        <v>54</v>
      </c>
      <c r="O32" s="10" t="s">
        <v>109</v>
      </c>
      <c r="P32" s="10" t="s">
        <v>110</v>
      </c>
      <c r="Q32" s="10">
        <v>85</v>
      </c>
      <c r="R32" s="10" t="s">
        <v>109</v>
      </c>
      <c r="S32" s="10">
        <v>79</v>
      </c>
      <c r="T32" s="10" t="s">
        <v>111</v>
      </c>
      <c r="U32" s="10" t="s">
        <v>112</v>
      </c>
      <c r="W32" s="9" t="s">
        <v>6</v>
      </c>
      <c r="X32" s="10" t="s">
        <v>113</v>
      </c>
      <c r="Y32" s="10">
        <v>76</v>
      </c>
      <c r="Z32" s="10">
        <v>68</v>
      </c>
      <c r="AA32" s="10" t="s">
        <v>57</v>
      </c>
      <c r="AB32" s="10" t="s">
        <v>113</v>
      </c>
      <c r="AC32" s="10" t="s">
        <v>114</v>
      </c>
      <c r="AD32" s="10" t="s">
        <v>115</v>
      </c>
      <c r="AE32" s="10" t="s">
        <v>116</v>
      </c>
      <c r="AF32" s="10" t="s">
        <v>117</v>
      </c>
      <c r="AG32" s="10">
        <v>64</v>
      </c>
    </row>
    <row r="33" spans="1:33" ht="39" customHeight="1" thickBot="1" x14ac:dyDescent="0.35">
      <c r="A33" s="2" t="s">
        <v>29</v>
      </c>
      <c r="B33" s="3">
        <v>1</v>
      </c>
      <c r="C33" s="3">
        <v>10</v>
      </c>
      <c r="D33" s="3" t="s">
        <v>8</v>
      </c>
      <c r="E33" s="3" t="s">
        <v>9</v>
      </c>
      <c r="F33" s="6" t="s">
        <v>118</v>
      </c>
      <c r="G33" s="3">
        <v>20</v>
      </c>
      <c r="H33" s="4">
        <f>AVERAGE(Tabela1359[#This Row])</f>
        <v>74.900999999999996</v>
      </c>
      <c r="I33" s="5">
        <f>AVERAGE(Tabela134610[#This Row])</f>
        <v>64.832999999999998</v>
      </c>
      <c r="K33" s="9" t="s">
        <v>5</v>
      </c>
      <c r="L33" s="10">
        <v>81.67</v>
      </c>
      <c r="M33" s="10">
        <v>52.67</v>
      </c>
      <c r="N33" s="10">
        <v>78.67</v>
      </c>
      <c r="O33" s="10">
        <v>76.33</v>
      </c>
      <c r="P33" s="10">
        <v>71.67</v>
      </c>
      <c r="Q33" s="10">
        <v>76</v>
      </c>
      <c r="R33" s="10">
        <v>77.67</v>
      </c>
      <c r="S33" s="10">
        <v>77.33</v>
      </c>
      <c r="T33" s="10">
        <v>76.33</v>
      </c>
      <c r="U33" s="10">
        <v>80.67</v>
      </c>
      <c r="W33" s="9" t="s">
        <v>6</v>
      </c>
      <c r="X33" s="10">
        <v>78.33</v>
      </c>
      <c r="Y33" s="10">
        <v>43.33</v>
      </c>
      <c r="Z33" s="10">
        <v>63.33</v>
      </c>
      <c r="AA33" s="10">
        <v>76.67</v>
      </c>
      <c r="AB33" s="10">
        <v>65</v>
      </c>
      <c r="AC33" s="10">
        <v>63.33</v>
      </c>
      <c r="AD33" s="10">
        <v>61.67</v>
      </c>
      <c r="AE33" s="10">
        <v>63.33</v>
      </c>
      <c r="AF33" s="10">
        <v>61.67</v>
      </c>
      <c r="AG33" s="10">
        <v>71.67</v>
      </c>
    </row>
    <row r="34" spans="1:33" ht="0.6" customHeight="1" thickBot="1" x14ac:dyDescent="0.35">
      <c r="A34" s="2"/>
      <c r="B34" s="3"/>
      <c r="C34" s="3"/>
      <c r="D34" s="3"/>
      <c r="E34" s="3"/>
      <c r="F34" s="3"/>
      <c r="G34" s="3"/>
      <c r="H34" s="4"/>
      <c r="I34" s="5"/>
      <c r="K34" s="9"/>
      <c r="L34" s="10"/>
      <c r="M34" s="10"/>
      <c r="N34" s="10"/>
      <c r="O34" s="10"/>
      <c r="P34" s="11"/>
      <c r="Q34" s="10"/>
      <c r="R34" s="10"/>
      <c r="S34" s="10"/>
      <c r="T34" s="10"/>
      <c r="U34" s="10"/>
      <c r="W34" s="9"/>
      <c r="X34" s="10"/>
      <c r="Y34" s="10"/>
      <c r="Z34" s="10"/>
      <c r="AA34" s="10"/>
      <c r="AB34" s="11"/>
      <c r="AC34" s="10"/>
      <c r="AD34" s="10"/>
      <c r="AE34" s="10"/>
      <c r="AF34" s="10"/>
      <c r="AG34" s="10"/>
    </row>
  </sheetData>
  <mergeCells count="4">
    <mergeCell ref="A8:I8"/>
    <mergeCell ref="A15:I15"/>
    <mergeCell ref="A22:I22"/>
    <mergeCell ref="A29:I29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B8C2-CBBC-47A7-9D30-3593BE6ACD5F}">
  <dimension ref="A2:I25"/>
  <sheetViews>
    <sheetView workbookViewId="0">
      <selection activeCell="L17" sqref="L17"/>
    </sheetView>
  </sheetViews>
  <sheetFormatPr defaultRowHeight="15.6" x14ac:dyDescent="0.3"/>
  <cols>
    <col min="1" max="1" width="18.69921875" customWidth="1"/>
    <col min="2" max="2" width="12.69921875" customWidth="1"/>
    <col min="3" max="3" width="13.5" customWidth="1"/>
    <col min="4" max="4" width="15" customWidth="1"/>
    <col min="5" max="5" width="15.19921875" customWidth="1"/>
    <col min="6" max="6" width="13.3984375" customWidth="1"/>
    <col min="7" max="7" width="13.296875" customWidth="1"/>
  </cols>
  <sheetData>
    <row r="2" spans="1:9" ht="30.6" customHeigh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120</v>
      </c>
      <c r="H2" s="1" t="s">
        <v>5</v>
      </c>
      <c r="I2" s="1" t="s">
        <v>6</v>
      </c>
    </row>
    <row r="3" spans="1:9" ht="7.2" customHeight="1" thickBot="1" x14ac:dyDescent="0.35"/>
    <row r="4" spans="1:9" ht="47.4" thickBot="1" x14ac:dyDescent="0.35">
      <c r="A4" s="8" t="s">
        <v>7</v>
      </c>
      <c r="B4" s="7">
        <v>1</v>
      </c>
      <c r="C4" s="7">
        <v>10</v>
      </c>
      <c r="D4" s="7" t="s">
        <v>8</v>
      </c>
      <c r="E4" s="7" t="s">
        <v>9</v>
      </c>
      <c r="F4" s="7" t="s">
        <v>34</v>
      </c>
      <c r="G4" s="3">
        <v>20</v>
      </c>
      <c r="H4" s="4"/>
      <c r="I4" s="5"/>
    </row>
    <row r="6" spans="1:9" ht="16.2" thickBot="1" x14ac:dyDescent="0.35"/>
    <row r="7" spans="1:9" ht="36.6" customHeight="1" thickBot="1" x14ac:dyDescent="0.35">
      <c r="A7" s="12" t="s">
        <v>128</v>
      </c>
      <c r="B7" s="13"/>
      <c r="C7" s="13"/>
      <c r="D7" s="13"/>
      <c r="E7" s="13"/>
      <c r="F7" s="13"/>
      <c r="G7" s="13"/>
      <c r="H7" s="13"/>
      <c r="I7" s="14"/>
    </row>
    <row r="8" spans="1:9" ht="49.8" customHeight="1" thickBot="1" x14ac:dyDescent="0.35">
      <c r="A8" s="2" t="s">
        <v>22</v>
      </c>
      <c r="B8" s="6">
        <v>1</v>
      </c>
      <c r="C8" s="6">
        <v>10</v>
      </c>
      <c r="D8" s="3" t="s">
        <v>8</v>
      </c>
      <c r="E8" s="3" t="s">
        <v>9</v>
      </c>
      <c r="F8" s="3" t="s">
        <v>34</v>
      </c>
      <c r="G8" s="3">
        <v>20</v>
      </c>
      <c r="H8" s="4" t="s">
        <v>23</v>
      </c>
      <c r="I8" s="5">
        <v>80</v>
      </c>
    </row>
    <row r="9" spans="1:9" ht="46.8" customHeight="1" thickBot="1" x14ac:dyDescent="0.35">
      <c r="A9" s="2" t="s">
        <v>24</v>
      </c>
      <c r="B9" s="6">
        <v>2</v>
      </c>
      <c r="C9" s="6" t="s">
        <v>25</v>
      </c>
      <c r="D9" s="3" t="s">
        <v>26</v>
      </c>
      <c r="E9" s="3" t="s">
        <v>9</v>
      </c>
      <c r="F9" s="3" t="s">
        <v>34</v>
      </c>
      <c r="G9" s="3">
        <v>20</v>
      </c>
      <c r="H9" s="4" t="s">
        <v>23</v>
      </c>
      <c r="I9" s="5">
        <v>83.3</v>
      </c>
    </row>
    <row r="10" spans="1:9" ht="51" customHeight="1" thickBot="1" x14ac:dyDescent="0.35">
      <c r="A10" s="2" t="s">
        <v>27</v>
      </c>
      <c r="B10" s="6">
        <v>1</v>
      </c>
      <c r="C10" s="6">
        <v>10</v>
      </c>
      <c r="D10" s="3" t="s">
        <v>26</v>
      </c>
      <c r="E10" s="3" t="s">
        <v>74</v>
      </c>
      <c r="F10" s="3" t="s">
        <v>34</v>
      </c>
      <c r="G10" s="3">
        <v>20</v>
      </c>
      <c r="H10" s="4" t="s">
        <v>23</v>
      </c>
      <c r="I10" s="5">
        <v>70</v>
      </c>
    </row>
    <row r="13" spans="1:9" ht="16.2" thickBot="1" x14ac:dyDescent="0.35"/>
    <row r="14" spans="1:9" ht="26.4" thickBot="1" x14ac:dyDescent="0.35">
      <c r="A14" s="12" t="s">
        <v>129</v>
      </c>
      <c r="B14" s="13"/>
      <c r="C14" s="13"/>
      <c r="D14" s="13"/>
      <c r="E14" s="13"/>
      <c r="F14" s="13"/>
      <c r="G14" s="13"/>
      <c r="H14" s="13"/>
      <c r="I14" s="14"/>
    </row>
    <row r="15" spans="1:9" ht="47.4" thickBot="1" x14ac:dyDescent="0.35">
      <c r="A15" s="2" t="s">
        <v>22</v>
      </c>
      <c r="B15" s="6">
        <v>1</v>
      </c>
      <c r="C15" s="6">
        <v>10</v>
      </c>
      <c r="D15" s="3" t="s">
        <v>8</v>
      </c>
      <c r="E15" s="3" t="s">
        <v>9</v>
      </c>
      <c r="F15" s="3" t="s">
        <v>34</v>
      </c>
      <c r="G15" s="3">
        <v>20</v>
      </c>
      <c r="H15" s="4" t="s">
        <v>131</v>
      </c>
      <c r="I15" s="5" t="s">
        <v>96</v>
      </c>
    </row>
    <row r="16" spans="1:9" ht="47.4" thickBot="1" x14ac:dyDescent="0.35">
      <c r="A16" s="2" t="s">
        <v>24</v>
      </c>
      <c r="B16" s="6">
        <v>2</v>
      </c>
      <c r="C16" s="6" t="s">
        <v>25</v>
      </c>
      <c r="D16" s="3" t="s">
        <v>26</v>
      </c>
      <c r="E16" s="3" t="s">
        <v>9</v>
      </c>
      <c r="F16" s="3" t="s">
        <v>34</v>
      </c>
      <c r="G16" s="3">
        <v>20</v>
      </c>
      <c r="H16" s="4">
        <v>80</v>
      </c>
      <c r="I16" s="5" t="s">
        <v>80</v>
      </c>
    </row>
    <row r="17" spans="1:9" ht="47.4" thickBot="1" x14ac:dyDescent="0.35">
      <c r="A17" s="2" t="s">
        <v>27</v>
      </c>
      <c r="B17" s="6">
        <v>1</v>
      </c>
      <c r="C17" s="6">
        <v>10</v>
      </c>
      <c r="D17" s="3" t="s">
        <v>26</v>
      </c>
      <c r="E17" s="3" t="s">
        <v>74</v>
      </c>
      <c r="F17" s="3" t="s">
        <v>34</v>
      </c>
      <c r="G17" s="3">
        <v>20</v>
      </c>
      <c r="H17" s="4" t="s">
        <v>123</v>
      </c>
      <c r="I17" s="5" t="s">
        <v>96</v>
      </c>
    </row>
    <row r="21" spans="1:9" ht="16.2" thickBot="1" x14ac:dyDescent="0.35"/>
    <row r="22" spans="1:9" ht="26.4" thickBot="1" x14ac:dyDescent="0.35">
      <c r="A22" s="12" t="s">
        <v>130</v>
      </c>
      <c r="B22" s="13"/>
      <c r="C22" s="13"/>
      <c r="D22" s="13"/>
      <c r="E22" s="13"/>
      <c r="F22" s="13"/>
      <c r="G22" s="13"/>
      <c r="H22" s="13"/>
      <c r="I22" s="14"/>
    </row>
    <row r="23" spans="1:9" ht="47.4" thickBot="1" x14ac:dyDescent="0.35">
      <c r="A23" s="2" t="s">
        <v>22</v>
      </c>
      <c r="B23" s="6">
        <v>1</v>
      </c>
      <c r="C23" s="6">
        <v>10</v>
      </c>
      <c r="D23" s="3" t="s">
        <v>8</v>
      </c>
      <c r="E23" s="3" t="s">
        <v>9</v>
      </c>
      <c r="F23" s="3" t="s">
        <v>34</v>
      </c>
      <c r="G23" s="3">
        <v>20</v>
      </c>
      <c r="H23" s="4">
        <v>94.1</v>
      </c>
      <c r="I23" s="5">
        <v>89.74</v>
      </c>
    </row>
    <row r="24" spans="1:9" ht="47.4" thickBot="1" x14ac:dyDescent="0.35">
      <c r="A24" s="2" t="s">
        <v>24</v>
      </c>
      <c r="B24" s="6">
        <v>2</v>
      </c>
      <c r="C24" s="6" t="s">
        <v>25</v>
      </c>
      <c r="D24" s="3" t="s">
        <v>26</v>
      </c>
      <c r="E24" s="3" t="s">
        <v>9</v>
      </c>
      <c r="F24" s="3" t="s">
        <v>34</v>
      </c>
      <c r="G24" s="3">
        <v>20</v>
      </c>
      <c r="H24" s="4">
        <v>95.9</v>
      </c>
      <c r="I24" s="5">
        <v>76.92</v>
      </c>
    </row>
    <row r="25" spans="1:9" ht="47.4" thickBot="1" x14ac:dyDescent="0.35">
      <c r="A25" s="2" t="s">
        <v>27</v>
      </c>
      <c r="B25" s="6">
        <v>1</v>
      </c>
      <c r="C25" s="6">
        <v>10</v>
      </c>
      <c r="D25" s="3" t="s">
        <v>26</v>
      </c>
      <c r="E25" s="3" t="s">
        <v>74</v>
      </c>
      <c r="F25" s="3" t="s">
        <v>34</v>
      </c>
      <c r="G25" s="3">
        <v>20</v>
      </c>
      <c r="H25" s="4">
        <v>86.41</v>
      </c>
      <c r="I25" s="5">
        <v>94.87</v>
      </c>
    </row>
  </sheetData>
  <mergeCells count="3">
    <mergeCell ref="A7:I7"/>
    <mergeCell ref="A14:I14"/>
    <mergeCell ref="A22:I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f10e8a-6ebb-4a7b-8baf-f6db246c1ec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F85CF322BBD6479F86D4451B9A145C" ma:contentTypeVersion="6" ma:contentTypeDescription="Create a new document." ma:contentTypeScope="" ma:versionID="e913fd76e4f124370a759826381eabf8">
  <xsd:schema xmlns:xsd="http://www.w3.org/2001/XMLSchema" xmlns:xs="http://www.w3.org/2001/XMLSchema" xmlns:p="http://schemas.microsoft.com/office/2006/metadata/properties" xmlns:ns3="b9f10e8a-6ebb-4a7b-8baf-f6db246c1ecc" targetNamespace="http://schemas.microsoft.com/office/2006/metadata/properties" ma:root="true" ma:fieldsID="b98d2095d08b28ffbb647fc35f17ed13" ns3:_="">
    <xsd:import namespace="b9f10e8a-6ebb-4a7b-8baf-f6db246c1ec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10e8a-6ebb-4a7b-8baf-f6db246c1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1DC797-A42D-4B1F-B8C6-8640020CF02D}">
  <ds:schemaRefs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9f10e8a-6ebb-4a7b-8baf-f6db246c1ecc"/>
  </ds:schemaRefs>
</ds:datastoreItem>
</file>

<file path=customXml/itemProps2.xml><?xml version="1.0" encoding="utf-8"?>
<ds:datastoreItem xmlns:ds="http://schemas.openxmlformats.org/officeDocument/2006/customXml" ds:itemID="{CEC78891-2768-42EF-8381-BA43B232DA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f10e8a-6ebb-4a7b-8baf-f6db246c1e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9AB2AC-8218-4DDE-83C1-9F51FF4937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alineaA</vt:lpstr>
      <vt:lpstr>alineaB</vt:lpstr>
      <vt:lpstr>alineaC</vt:lpstr>
    </vt:vector>
  </TitlesOfParts>
  <Manager/>
  <Company>Universidade de Coimbra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Anabela Simões</dc:creator>
  <cp:keywords/>
  <dc:description/>
  <cp:lastModifiedBy>Gustavo Trigo Costa</cp:lastModifiedBy>
  <cp:revision/>
  <dcterms:created xsi:type="dcterms:W3CDTF">2012-02-23T15:29:48Z</dcterms:created>
  <dcterms:modified xsi:type="dcterms:W3CDTF">2025-05-13T14:17:56Z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0x0101004DF85CF322BBD6479F86D4451B9A145C</vt:lpwstr>
  </property>
</Properties>
</file>